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Users\Winds\Documents\昂瑞气动\产品分类\g螺纹\"/>
    </mc:Choice>
  </mc:AlternateContent>
  <xr:revisionPtr revIDLastSave="0" documentId="13_ncr:1_{FBE078C1-7725-4365-B17A-6A0A161BA007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L5" i="1"/>
  <c r="M5" i="1"/>
  <c r="N5" i="1"/>
  <c r="O5" i="1"/>
  <c r="P5" i="1"/>
  <c r="Q5" i="1"/>
  <c r="R5" i="1"/>
  <c r="K6" i="1"/>
  <c r="L6" i="1"/>
  <c r="M6" i="1"/>
  <c r="N6" i="1"/>
  <c r="O6" i="1"/>
  <c r="P6" i="1"/>
  <c r="Q6" i="1"/>
  <c r="R6" i="1"/>
  <c r="K7" i="1"/>
  <c r="L7" i="1"/>
  <c r="M7" i="1"/>
  <c r="N7" i="1"/>
  <c r="O7" i="1"/>
  <c r="P7" i="1"/>
  <c r="Q7" i="1"/>
  <c r="R7" i="1"/>
  <c r="K8" i="1"/>
  <c r="L8" i="1"/>
  <c r="M8" i="1"/>
  <c r="N8" i="1"/>
  <c r="O8" i="1"/>
  <c r="P8" i="1"/>
  <c r="Q8" i="1"/>
  <c r="R8" i="1"/>
  <c r="K9" i="1"/>
  <c r="L9" i="1"/>
  <c r="M9" i="1"/>
  <c r="N9" i="1"/>
  <c r="O9" i="1"/>
  <c r="P9" i="1"/>
  <c r="Q9" i="1"/>
  <c r="R9" i="1"/>
  <c r="K10" i="1"/>
  <c r="L10" i="1"/>
  <c r="M10" i="1"/>
  <c r="N10" i="1"/>
  <c r="O10" i="1"/>
  <c r="P10" i="1"/>
  <c r="Q10" i="1"/>
  <c r="R10" i="1"/>
  <c r="K11" i="1"/>
  <c r="L11" i="1"/>
  <c r="M11" i="1"/>
  <c r="N11" i="1"/>
  <c r="O11" i="1"/>
  <c r="P11" i="1"/>
  <c r="Q11" i="1"/>
  <c r="R11" i="1"/>
  <c r="K12" i="1"/>
  <c r="L12" i="1"/>
  <c r="M12" i="1"/>
  <c r="N12" i="1"/>
  <c r="O12" i="1"/>
  <c r="P12" i="1"/>
  <c r="Q12" i="1"/>
  <c r="R12" i="1"/>
  <c r="K13" i="1"/>
  <c r="L13" i="1"/>
  <c r="M13" i="1"/>
  <c r="N13" i="1"/>
  <c r="O13" i="1"/>
  <c r="P13" i="1"/>
  <c r="Q13" i="1"/>
  <c r="R13" i="1"/>
  <c r="K14" i="1"/>
  <c r="L14" i="1"/>
  <c r="M14" i="1"/>
  <c r="N14" i="1"/>
  <c r="O14" i="1"/>
  <c r="P14" i="1"/>
  <c r="Q14" i="1"/>
  <c r="R14" i="1"/>
  <c r="K15" i="1"/>
  <c r="L15" i="1"/>
  <c r="M15" i="1"/>
  <c r="N15" i="1"/>
  <c r="O15" i="1"/>
  <c r="P15" i="1"/>
  <c r="Q15" i="1"/>
  <c r="R15" i="1"/>
  <c r="K16" i="1"/>
  <c r="L16" i="1"/>
  <c r="M16" i="1"/>
  <c r="N16" i="1"/>
  <c r="O16" i="1"/>
  <c r="P16" i="1"/>
  <c r="Q16" i="1"/>
  <c r="R16" i="1"/>
  <c r="K17" i="1"/>
  <c r="L17" i="1"/>
  <c r="M17" i="1"/>
  <c r="N17" i="1"/>
  <c r="O17" i="1"/>
  <c r="P17" i="1"/>
  <c r="Q17" i="1"/>
  <c r="R17" i="1"/>
  <c r="K18" i="1"/>
  <c r="L18" i="1"/>
  <c r="M18" i="1"/>
  <c r="N18" i="1"/>
  <c r="O18" i="1"/>
  <c r="P18" i="1"/>
  <c r="Q18" i="1"/>
  <c r="R18" i="1"/>
  <c r="K19" i="1"/>
  <c r="L19" i="1"/>
  <c r="M19" i="1"/>
  <c r="N19" i="1"/>
  <c r="O19" i="1"/>
  <c r="P19" i="1"/>
  <c r="Q19" i="1"/>
  <c r="R19" i="1"/>
  <c r="K20" i="1"/>
  <c r="L20" i="1"/>
  <c r="M20" i="1"/>
  <c r="N20" i="1"/>
  <c r="O20" i="1"/>
  <c r="P20" i="1"/>
  <c r="Q20" i="1"/>
  <c r="R20" i="1"/>
  <c r="K21" i="1"/>
  <c r="L21" i="1"/>
  <c r="M21" i="1"/>
  <c r="N21" i="1"/>
  <c r="O21" i="1"/>
  <c r="P21" i="1"/>
  <c r="Q21" i="1"/>
  <c r="R21" i="1"/>
  <c r="K22" i="1"/>
  <c r="L22" i="1"/>
  <c r="M22" i="1"/>
  <c r="N22" i="1"/>
  <c r="O22" i="1"/>
  <c r="P22" i="1"/>
  <c r="Q22" i="1"/>
  <c r="R22" i="1"/>
  <c r="K23" i="1"/>
  <c r="L23" i="1"/>
  <c r="M23" i="1"/>
  <c r="N23" i="1"/>
  <c r="O23" i="1"/>
  <c r="P23" i="1"/>
  <c r="Q23" i="1"/>
  <c r="R23" i="1"/>
  <c r="K24" i="1"/>
  <c r="L24" i="1"/>
  <c r="M24" i="1"/>
  <c r="N24" i="1"/>
  <c r="O24" i="1"/>
  <c r="P24" i="1"/>
  <c r="Q24" i="1"/>
  <c r="R24" i="1"/>
  <c r="K25" i="1"/>
  <c r="L25" i="1"/>
  <c r="M25" i="1"/>
  <c r="N25" i="1"/>
  <c r="O25" i="1"/>
  <c r="P25" i="1"/>
  <c r="Q25" i="1"/>
  <c r="R25" i="1"/>
  <c r="K26" i="1"/>
  <c r="L26" i="1"/>
  <c r="M26" i="1"/>
  <c r="N26" i="1"/>
  <c r="O26" i="1"/>
  <c r="P26" i="1"/>
  <c r="Q26" i="1"/>
  <c r="R26" i="1"/>
  <c r="K27" i="1"/>
  <c r="L27" i="1"/>
  <c r="M27" i="1"/>
  <c r="N27" i="1"/>
  <c r="O27" i="1"/>
  <c r="P27" i="1"/>
  <c r="Q27" i="1"/>
  <c r="R27" i="1"/>
  <c r="K28" i="1"/>
  <c r="L28" i="1"/>
  <c r="M28" i="1"/>
  <c r="N28" i="1"/>
  <c r="O28" i="1"/>
  <c r="P28" i="1"/>
  <c r="Q28" i="1"/>
  <c r="R28" i="1"/>
  <c r="K29" i="1"/>
  <c r="L29" i="1"/>
  <c r="M29" i="1"/>
  <c r="N29" i="1"/>
  <c r="O29" i="1"/>
  <c r="P29" i="1"/>
  <c r="Q29" i="1"/>
  <c r="R29" i="1"/>
  <c r="K30" i="1"/>
  <c r="L30" i="1"/>
  <c r="M30" i="1"/>
  <c r="N30" i="1"/>
  <c r="O30" i="1"/>
  <c r="P30" i="1"/>
  <c r="Q30" i="1"/>
  <c r="R30" i="1"/>
  <c r="K31" i="1"/>
  <c r="L31" i="1"/>
  <c r="M31" i="1"/>
  <c r="N31" i="1"/>
  <c r="O31" i="1"/>
  <c r="P31" i="1"/>
  <c r="Q31" i="1"/>
  <c r="R31" i="1"/>
  <c r="R4" i="1"/>
  <c r="L4" i="1"/>
  <c r="M4" i="1"/>
  <c r="N4" i="1"/>
  <c r="O4" i="1"/>
  <c r="P4" i="1"/>
  <c r="Q4" i="1"/>
  <c r="K4" i="1"/>
</calcChain>
</file>

<file path=xl/sharedStrings.xml><?xml version="1.0" encoding="utf-8"?>
<sst xmlns="http://schemas.openxmlformats.org/spreadsheetml/2006/main" count="96" uniqueCount="42">
  <si>
    <t>ANGRUK  成本价</t>
  </si>
  <si>
    <r>
      <t xml:space="preserve">          </t>
    </r>
    <r>
      <rPr>
        <b/>
        <sz val="12"/>
        <color indexed="63"/>
        <rFont val="Arial Unicode MS"/>
        <family val="2"/>
      </rPr>
      <t>图</t>
    </r>
    <r>
      <rPr>
        <b/>
        <sz val="12"/>
        <color indexed="63"/>
        <rFont val="Arial Unicode MS"/>
        <family val="2"/>
      </rPr>
      <t>案</t>
    </r>
  </si>
  <si>
    <r>
      <t>型</t>
    </r>
    <r>
      <rPr>
        <b/>
        <sz val="12"/>
        <color indexed="63"/>
        <rFont val="Arial Unicode MS"/>
        <family val="2"/>
      </rPr>
      <t>号</t>
    </r>
  </si>
  <si>
    <t xml:space="preserve">  价格</t>
  </si>
  <si>
    <r>
      <t xml:space="preserve"> PC-G           螺</t>
    </r>
    <r>
      <rPr>
        <b/>
        <sz val="10"/>
        <color indexed="63"/>
        <rFont val="Arial Unicode MS"/>
        <family val="2"/>
      </rPr>
      <t>纹</t>
    </r>
    <r>
      <rPr>
        <b/>
        <sz val="10"/>
        <color indexed="63"/>
        <rFont val="Arial Unicode MS"/>
        <family val="2"/>
      </rPr>
      <t>直通</t>
    </r>
  </si>
  <si>
    <r>
      <t>PL-G            L型</t>
    </r>
    <r>
      <rPr>
        <b/>
        <sz val="10"/>
        <color indexed="63"/>
        <rFont val="Arial Unicode MS"/>
        <family val="2"/>
      </rPr>
      <t>弯</t>
    </r>
    <r>
      <rPr>
        <b/>
        <sz val="10"/>
        <color indexed="63"/>
        <rFont val="Arial Unicode MS"/>
        <family val="2"/>
      </rPr>
      <t>通</t>
    </r>
  </si>
  <si>
    <r>
      <t xml:space="preserve"> PCF-G           </t>
    </r>
    <r>
      <rPr>
        <b/>
        <sz val="10"/>
        <color indexed="63"/>
        <rFont val="Arial Unicode MS"/>
        <family val="2"/>
      </rPr>
      <t>内</t>
    </r>
    <r>
      <rPr>
        <b/>
        <sz val="10"/>
        <color indexed="63"/>
        <rFont val="Arial Unicode MS"/>
        <family val="2"/>
      </rPr>
      <t>螺</t>
    </r>
    <r>
      <rPr>
        <b/>
        <sz val="10"/>
        <color indexed="63"/>
        <rFont val="Arial Unicode MS"/>
        <family val="2"/>
      </rPr>
      <t>纹</t>
    </r>
    <r>
      <rPr>
        <b/>
        <sz val="10"/>
        <color indexed="63"/>
        <rFont val="Arial Unicode MS"/>
        <family val="2"/>
      </rPr>
      <t>直通</t>
    </r>
  </si>
  <si>
    <r>
      <t>SL-G                 L型</t>
    </r>
    <r>
      <rPr>
        <b/>
        <sz val="10"/>
        <color indexed="63"/>
        <rFont val="Arial Unicode MS"/>
        <family val="2"/>
      </rPr>
      <t>节</t>
    </r>
    <r>
      <rPr>
        <b/>
        <sz val="10"/>
        <color indexed="63"/>
        <rFont val="Arial Unicode MS"/>
        <family val="2"/>
      </rPr>
      <t>流</t>
    </r>
    <r>
      <rPr>
        <b/>
        <sz val="10"/>
        <color indexed="63"/>
        <rFont val="Arial Unicode MS"/>
        <family val="2"/>
      </rPr>
      <t>阀</t>
    </r>
  </si>
  <si>
    <t xml:space="preserve">PB /PX/PD  -G       </t>
  </si>
  <si>
    <t>PH-G                外六角</t>
  </si>
  <si>
    <r>
      <t>PLL-G                加</t>
    </r>
    <r>
      <rPr>
        <b/>
        <sz val="10"/>
        <color indexed="63"/>
        <rFont val="Arial Unicode MS"/>
        <family val="2"/>
      </rPr>
      <t>长螺纹弯通</t>
    </r>
  </si>
  <si>
    <r>
      <t xml:space="preserve">PLF
</t>
    </r>
    <r>
      <rPr>
        <b/>
        <sz val="10"/>
        <color indexed="8"/>
        <rFont val="Arial Unicode MS"/>
        <family val="2"/>
      </rPr>
      <t>内</t>
    </r>
    <r>
      <rPr>
        <b/>
        <sz val="10"/>
        <color indexed="8"/>
        <rFont val="Arial Unicode MS"/>
        <family val="2"/>
      </rPr>
      <t>螺</t>
    </r>
    <r>
      <rPr>
        <b/>
        <sz val="10"/>
        <color indexed="8"/>
        <rFont val="Arial Unicode MS"/>
        <family val="2"/>
      </rPr>
      <t>纹弯</t>
    </r>
    <r>
      <rPr>
        <b/>
        <sz val="10"/>
        <color indexed="8"/>
        <rFont val="Arial Unicode MS"/>
        <family val="2"/>
      </rPr>
      <t>通</t>
    </r>
  </si>
  <si>
    <t>4-M5</t>
  </si>
  <si>
    <t>－</t>
  </si>
  <si>
    <t>4-G01</t>
  </si>
  <si>
    <t>4-G02</t>
    <phoneticPr fontId="15" type="noConversion"/>
  </si>
  <si>
    <t>4-G03</t>
  </si>
  <si>
    <t>6-M5</t>
    <phoneticPr fontId="15" type="noConversion"/>
  </si>
  <si>
    <t>6-G01</t>
    <phoneticPr fontId="15" type="noConversion"/>
  </si>
  <si>
    <t>6-G02</t>
    <phoneticPr fontId="15" type="noConversion"/>
  </si>
  <si>
    <t>6-G03</t>
    <phoneticPr fontId="15" type="noConversion"/>
  </si>
  <si>
    <t>6-G04</t>
  </si>
  <si>
    <t>8-G01</t>
  </si>
  <si>
    <t>8-G02</t>
  </si>
  <si>
    <t>8-G03</t>
  </si>
  <si>
    <t>8-G04</t>
  </si>
  <si>
    <t>10-G01</t>
  </si>
  <si>
    <t>10-G02</t>
  </si>
  <si>
    <t>10-G03</t>
  </si>
  <si>
    <t>10-G04</t>
  </si>
  <si>
    <t>12-G01</t>
  </si>
  <si>
    <t>12-G02</t>
  </si>
  <si>
    <t>12-G03</t>
  </si>
  <si>
    <t>12-G04</t>
  </si>
  <si>
    <t>14-G02</t>
  </si>
  <si>
    <t>14-G03</t>
  </si>
  <si>
    <t>14-G04</t>
  </si>
  <si>
    <t>16-G02</t>
  </si>
  <si>
    <t>16-G03</t>
  </si>
  <si>
    <t>16-G04</t>
  </si>
  <si>
    <t>16-G06</t>
  </si>
  <si>
    <r>
      <t xml:space="preserve"> PC-G           </t>
    </r>
    <r>
      <rPr>
        <b/>
        <sz val="10"/>
        <color theme="3" tint="-0.249977111117893"/>
        <rFont val="微软雅黑"/>
        <family val="2"/>
        <charset val="134"/>
      </rPr>
      <t>螺</t>
    </r>
    <r>
      <rPr>
        <b/>
        <sz val="10"/>
        <color rgb="FF333333"/>
        <rFont val="微软雅黑"/>
        <family val="2"/>
        <charset val="134"/>
      </rPr>
      <t>纹直通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</si>
</sst>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_ "/>
    <numFmt numFmtId="177" formatCode="0.00_);[Red]\(0.00\)"/>
    <numFmt numFmtId="180" formatCode="&quot;¥&quot;#,##0.00_);[Red]\(&quot;¥&quot;#,##0.00\)"/>
  </numFmts>
  <fonts count="1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b/>
      <sz val="26"/>
      <name val="等线 Light"/>
      <family val="3"/>
      <charset val="134"/>
      <scheme val="major"/>
    </font>
    <font>
      <b/>
      <sz val="12"/>
      <color theme="3" tint="-0.249977111117893"/>
      <name val="Arial Unicode MS"/>
      <family val="2"/>
    </font>
    <font>
      <b/>
      <sz val="12"/>
      <color indexed="63"/>
      <name val="Arial Unicode MS"/>
      <family val="2"/>
    </font>
    <font>
      <sz val="11"/>
      <color theme="3" tint="-0.249977111117893"/>
      <name val="Arial Unicode MS"/>
      <family val="2"/>
    </font>
    <font>
      <sz val="11"/>
      <color rgb="FF000000"/>
      <name val="Arial Unicode MS"/>
      <family val="2"/>
    </font>
    <font>
      <b/>
      <sz val="10"/>
      <color theme="3" tint="-0.249977111117893"/>
      <name val="Arial Unicode MS"/>
      <family val="2"/>
    </font>
    <font>
      <b/>
      <sz val="10"/>
      <color indexed="63"/>
      <name val="Arial Unicode MS"/>
      <family val="2"/>
    </font>
    <font>
      <b/>
      <sz val="10"/>
      <color rgb="FF000000"/>
      <name val="Arial Unicode MS"/>
      <family val="2"/>
    </font>
    <font>
      <b/>
      <sz val="10"/>
      <color indexed="8"/>
      <name val="Arial Unicode MS"/>
      <family val="2"/>
    </font>
    <font>
      <b/>
      <sz val="12"/>
      <color rgb="FF000000"/>
      <name val="Arial Unicode MS"/>
      <family val="2"/>
    </font>
    <font>
      <b/>
      <sz val="12"/>
      <name val="Arial Unicode MS"/>
      <family val="2"/>
    </font>
    <font>
      <b/>
      <sz val="11"/>
      <color rgb="FF000000"/>
      <name val="宋体"/>
      <family val="3"/>
      <charset val="134"/>
    </font>
    <font>
      <sz val="9"/>
      <name val="宋体"/>
      <family val="3"/>
      <charset val="134"/>
    </font>
    <font>
      <b/>
      <sz val="10"/>
      <color theme="3" tint="-0.249977111117893"/>
      <name val="微软雅黑"/>
      <family val="2"/>
      <charset val="134"/>
    </font>
    <font>
      <b/>
      <sz val="10"/>
      <color rgb="FF333333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/>
  </cellStyleXfs>
  <cellXfs count="25">
    <xf numFmtId="0" fontId="0" fillId="0" borderId="0" xfId="0"/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176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Font="1" applyFill="1" applyBorder="1" applyAlignment="1">
      <alignment horizontal="center" vertical="center" wrapText="1"/>
    </xf>
    <xf numFmtId="49" fontId="4" fillId="2" borderId="4" xfId="1" applyNumberFormat="1" applyFont="1" applyFill="1" applyBorder="1" applyAlignment="1">
      <alignment horizontal="center" vertical="center"/>
    </xf>
    <xf numFmtId="49" fontId="4" fillId="2" borderId="5" xfId="1" applyNumberFormat="1" applyFont="1" applyFill="1" applyBorder="1" applyAlignment="1">
      <alignment horizontal="center" vertical="center"/>
    </xf>
    <xf numFmtId="0" fontId="6" fillId="2" borderId="0" xfId="1" applyFont="1" applyFill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4" fillId="2" borderId="7" xfId="1" applyFont="1" applyFill="1" applyBorder="1" applyAlignment="1">
      <alignment horizontal="center" vertical="center"/>
    </xf>
    <xf numFmtId="177" fontId="6" fillId="2" borderId="7" xfId="1" applyNumberFormat="1" applyFont="1" applyFill="1" applyBorder="1" applyAlignment="1">
      <alignment vertical="center"/>
    </xf>
    <xf numFmtId="0" fontId="7" fillId="2" borderId="6" xfId="0" applyFont="1" applyFill="1" applyBorder="1"/>
    <xf numFmtId="0" fontId="4" fillId="2" borderId="8" xfId="1" applyFont="1" applyFill="1" applyBorder="1" applyAlignment="1">
      <alignment vertical="center" wrapText="1"/>
    </xf>
    <xf numFmtId="49" fontId="4" fillId="2" borderId="9" xfId="1" applyNumberFormat="1" applyFont="1" applyFill="1" applyBorder="1" applyAlignment="1">
      <alignment vertical="center"/>
    </xf>
    <xf numFmtId="0" fontId="8" fillId="2" borderId="6" xfId="1" applyFont="1" applyFill="1" applyBorder="1" applyAlignment="1">
      <alignment horizontal="center" vertical="center" wrapText="1"/>
    </xf>
    <xf numFmtId="177" fontId="8" fillId="2" borderId="6" xfId="1" applyNumberFormat="1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2" fillId="0" borderId="6" xfId="1" applyFont="1" applyFill="1" applyBorder="1" applyAlignment="1">
      <alignment horizontal="center" vertical="center" wrapText="1"/>
    </xf>
    <xf numFmtId="0" fontId="13" fillId="0" borderId="6" xfId="1" applyFont="1" applyFill="1" applyBorder="1" applyAlignment="1">
      <alignment horizontal="center" vertical="center" wrapText="1"/>
    </xf>
    <xf numFmtId="177" fontId="14" fillId="3" borderId="6" xfId="0" applyNumberFormat="1" applyFont="1" applyFill="1" applyBorder="1"/>
    <xf numFmtId="49" fontId="13" fillId="0" borderId="6" xfId="1" applyNumberFormat="1" applyFont="1" applyFill="1" applyBorder="1" applyAlignment="1">
      <alignment horizontal="center" vertical="center" wrapText="1"/>
    </xf>
    <xf numFmtId="180" fontId="0" fillId="0" borderId="0" xfId="0" applyNumberFormat="1"/>
    <xf numFmtId="180" fontId="8" fillId="2" borderId="6" xfId="1" applyNumberFormat="1" applyFont="1" applyFill="1" applyBorder="1" applyAlignment="1">
      <alignment horizontal="center" vertical="center" wrapText="1"/>
    </xf>
    <xf numFmtId="180" fontId="10" fillId="2" borderId="6" xfId="0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常规 5 2" xfId="1" xr:uid="{56FB363B-4B3A-4EBE-814B-CA9AC9E9E8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abSelected="1" topLeftCell="A2" workbookViewId="0">
      <selection activeCell="R14" sqref="R14"/>
    </sheetView>
  </sheetViews>
  <sheetFormatPr defaultRowHeight="14"/>
  <cols>
    <col min="3" max="10" width="0" hidden="1" customWidth="1"/>
    <col min="11" max="11" width="8.6640625" style="22"/>
    <col min="12" max="12" width="9.58203125" style="22" bestFit="1" customWidth="1"/>
    <col min="13" max="18" width="8.6640625" style="22"/>
  </cols>
  <sheetData>
    <row r="1" spans="1:18" ht="32.5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</row>
    <row r="2" spans="1:18" ht="15.5">
      <c r="A2" s="5" t="s">
        <v>1</v>
      </c>
      <c r="B2" s="6"/>
      <c r="C2" s="7"/>
      <c r="D2" s="8"/>
      <c r="E2" s="9"/>
      <c r="F2" s="10"/>
      <c r="G2" s="7"/>
      <c r="H2" s="11"/>
      <c r="I2" s="11"/>
      <c r="J2" s="12"/>
    </row>
    <row r="3" spans="1:18" ht="39">
      <c r="A3" s="13" t="s">
        <v>2</v>
      </c>
      <c r="B3" s="14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6" t="s">
        <v>9</v>
      </c>
      <c r="I3" s="16" t="s">
        <v>10</v>
      </c>
      <c r="J3" s="17" t="s">
        <v>11</v>
      </c>
      <c r="K3" s="23" t="s">
        <v>41</v>
      </c>
      <c r="L3" s="23" t="s">
        <v>5</v>
      </c>
      <c r="M3" s="23" t="s">
        <v>6</v>
      </c>
      <c r="N3" s="23" t="s">
        <v>7</v>
      </c>
      <c r="O3" s="23" t="s">
        <v>8</v>
      </c>
      <c r="P3" s="23" t="s">
        <v>9</v>
      </c>
      <c r="Q3" s="23" t="s">
        <v>10</v>
      </c>
      <c r="R3" s="24" t="s">
        <v>11</v>
      </c>
    </row>
    <row r="4" spans="1:18" ht="15.5">
      <c r="A4" s="18" t="s">
        <v>12</v>
      </c>
      <c r="B4" s="19"/>
      <c r="C4" s="20" t="s">
        <v>13</v>
      </c>
      <c r="D4" s="20">
        <v>0.8053499999999999</v>
      </c>
      <c r="E4" s="20">
        <v>0.95082</v>
      </c>
      <c r="F4" s="20">
        <v>1.8459999999999999</v>
      </c>
      <c r="G4" s="20" t="s">
        <v>13</v>
      </c>
      <c r="H4" s="20">
        <v>1.2284999999999999</v>
      </c>
      <c r="I4" s="20">
        <v>2.2113000000000005</v>
      </c>
      <c r="J4" s="20">
        <v>1.3786500000000002</v>
      </c>
      <c r="K4" s="22" t="e">
        <f>C4*2</f>
        <v>#VALUE!</v>
      </c>
      <c r="L4" s="22">
        <f t="shared" ref="L4:R4" si="0">D4*2</f>
        <v>1.6106999999999998</v>
      </c>
      <c r="M4" s="22">
        <f t="shared" si="0"/>
        <v>1.90164</v>
      </c>
      <c r="N4" s="22">
        <f t="shared" si="0"/>
        <v>3.6919999999999997</v>
      </c>
      <c r="O4" s="22" t="e">
        <f t="shared" si="0"/>
        <v>#VALUE!</v>
      </c>
      <c r="P4" s="22">
        <f t="shared" si="0"/>
        <v>2.4569999999999999</v>
      </c>
      <c r="Q4" s="22">
        <f t="shared" si="0"/>
        <v>4.422600000000001</v>
      </c>
      <c r="R4" s="22">
        <f t="shared" si="0"/>
        <v>2.7573000000000003</v>
      </c>
    </row>
    <row r="5" spans="1:18" ht="15.5">
      <c r="A5" s="18" t="s">
        <v>14</v>
      </c>
      <c r="B5" s="19"/>
      <c r="C5" s="20">
        <v>0.66884999999999994</v>
      </c>
      <c r="D5" s="20">
        <v>0.97256250000000011</v>
      </c>
      <c r="E5" s="20">
        <v>0.95082</v>
      </c>
      <c r="F5" s="20">
        <v>2.57985</v>
      </c>
      <c r="G5" s="20">
        <v>1.3786500000000002</v>
      </c>
      <c r="H5" s="20">
        <v>2.1567000000000003</v>
      </c>
      <c r="I5" s="20">
        <v>2.5389000000000004</v>
      </c>
      <c r="J5" s="20">
        <v>1.4469000000000003</v>
      </c>
      <c r="K5" s="22">
        <f t="shared" ref="K5:K31" si="1">C5*2</f>
        <v>1.3376999999999999</v>
      </c>
      <c r="L5" s="22">
        <f t="shared" ref="L5:L31" si="2">D5*2</f>
        <v>1.9451250000000002</v>
      </c>
      <c r="M5" s="22">
        <f t="shared" ref="M5:M31" si="3">E5*2</f>
        <v>1.90164</v>
      </c>
      <c r="N5" s="22">
        <f t="shared" ref="N5:N31" si="4">F5*2</f>
        <v>5.1597</v>
      </c>
      <c r="O5" s="22">
        <f t="shared" ref="O5:O31" si="5">G5*2</f>
        <v>2.7573000000000003</v>
      </c>
      <c r="P5" s="22">
        <f t="shared" ref="P5:P31" si="6">H5*2</f>
        <v>4.3134000000000006</v>
      </c>
      <c r="Q5" s="22">
        <f t="shared" ref="Q5:Q31" si="7">I5*2</f>
        <v>5.0778000000000008</v>
      </c>
      <c r="R5" s="22">
        <f t="shared" ref="R5:R31" si="8">J5*2</f>
        <v>2.8938000000000006</v>
      </c>
    </row>
    <row r="6" spans="1:18" ht="15.5">
      <c r="A6" s="18" t="s">
        <v>15</v>
      </c>
      <c r="B6" s="19"/>
      <c r="C6" s="20">
        <v>0.96914999999999996</v>
      </c>
      <c r="D6" s="20">
        <v>1.1930100000000001</v>
      </c>
      <c r="E6" s="20">
        <v>1.5295800000000002</v>
      </c>
      <c r="F6" s="20">
        <v>3.7439999999999998</v>
      </c>
      <c r="G6" s="20">
        <v>1.6789500000000002</v>
      </c>
      <c r="H6" s="20">
        <v>3.4125000000000001</v>
      </c>
      <c r="I6" s="20">
        <v>2.9620500000000005</v>
      </c>
      <c r="J6" s="20">
        <v>2.3205</v>
      </c>
      <c r="K6" s="22">
        <f t="shared" si="1"/>
        <v>1.9382999999999999</v>
      </c>
      <c r="L6" s="22">
        <f t="shared" si="2"/>
        <v>2.3860200000000003</v>
      </c>
      <c r="M6" s="22">
        <f t="shared" si="3"/>
        <v>3.0591600000000003</v>
      </c>
      <c r="N6" s="22">
        <f t="shared" si="4"/>
        <v>7.4879999999999995</v>
      </c>
      <c r="O6" s="22">
        <f t="shared" si="5"/>
        <v>3.3579000000000003</v>
      </c>
      <c r="P6" s="22">
        <f t="shared" si="6"/>
        <v>6.8250000000000002</v>
      </c>
      <c r="Q6" s="22">
        <f t="shared" si="7"/>
        <v>5.924100000000001</v>
      </c>
      <c r="R6" s="22">
        <f t="shared" si="8"/>
        <v>4.641</v>
      </c>
    </row>
    <row r="7" spans="1:18" ht="15.5">
      <c r="A7" s="21" t="s">
        <v>16</v>
      </c>
      <c r="B7" s="21"/>
      <c r="C7" s="20">
        <v>1.8973500000000001</v>
      </c>
      <c r="D7" s="20" t="s">
        <v>13</v>
      </c>
      <c r="E7" s="20" t="s">
        <v>13</v>
      </c>
      <c r="F7" s="20" t="s">
        <v>13</v>
      </c>
      <c r="G7" s="20" t="s">
        <v>13</v>
      </c>
      <c r="H7" s="20" t="s">
        <v>13</v>
      </c>
      <c r="I7" s="20" t="s">
        <v>13</v>
      </c>
      <c r="J7" s="20" t="s">
        <v>13</v>
      </c>
      <c r="K7" s="22">
        <f t="shared" si="1"/>
        <v>3.7947000000000002</v>
      </c>
      <c r="L7" s="22" t="e">
        <f t="shared" si="2"/>
        <v>#VALUE!</v>
      </c>
      <c r="M7" s="22" t="e">
        <f t="shared" si="3"/>
        <v>#VALUE!</v>
      </c>
      <c r="N7" s="22" t="e">
        <f t="shared" si="4"/>
        <v>#VALUE!</v>
      </c>
      <c r="O7" s="22" t="e">
        <f t="shared" si="5"/>
        <v>#VALUE!</v>
      </c>
      <c r="P7" s="22" t="e">
        <f t="shared" si="6"/>
        <v>#VALUE!</v>
      </c>
      <c r="Q7" s="22" t="e">
        <f t="shared" si="7"/>
        <v>#VALUE!</v>
      </c>
      <c r="R7" s="22" t="e">
        <f t="shared" si="8"/>
        <v>#VALUE!</v>
      </c>
    </row>
    <row r="8" spans="1:18" ht="15.5">
      <c r="A8" s="18" t="s">
        <v>17</v>
      </c>
      <c r="B8" s="19"/>
      <c r="C8" s="20" t="s">
        <v>13</v>
      </c>
      <c r="D8" s="20" t="s">
        <v>13</v>
      </c>
      <c r="E8" s="20">
        <v>1.01972</v>
      </c>
      <c r="F8" s="20">
        <v>1.8459999999999999</v>
      </c>
      <c r="G8" s="20" t="s">
        <v>13</v>
      </c>
      <c r="H8" s="20">
        <v>1.2284999999999999</v>
      </c>
      <c r="I8" s="20">
        <v>2.2113000000000005</v>
      </c>
      <c r="J8" s="20">
        <v>1.4469000000000003</v>
      </c>
      <c r="K8" s="22" t="e">
        <f t="shared" si="1"/>
        <v>#VALUE!</v>
      </c>
      <c r="L8" s="22" t="e">
        <f t="shared" si="2"/>
        <v>#VALUE!</v>
      </c>
      <c r="M8" s="22">
        <f t="shared" si="3"/>
        <v>2.0394399999999999</v>
      </c>
      <c r="N8" s="22">
        <f t="shared" si="4"/>
        <v>3.6919999999999997</v>
      </c>
      <c r="O8" s="22" t="e">
        <f t="shared" si="5"/>
        <v>#VALUE!</v>
      </c>
      <c r="P8" s="22">
        <f t="shared" si="6"/>
        <v>2.4569999999999999</v>
      </c>
      <c r="Q8" s="22">
        <f t="shared" si="7"/>
        <v>4.422600000000001</v>
      </c>
      <c r="R8" s="22">
        <f t="shared" si="8"/>
        <v>2.8938000000000006</v>
      </c>
    </row>
    <row r="9" spans="1:18" ht="15.5">
      <c r="A9" s="18" t="s">
        <v>18</v>
      </c>
      <c r="B9" s="19"/>
      <c r="C9" s="20">
        <v>0.79169999999999996</v>
      </c>
      <c r="D9" s="20">
        <v>1.0763025000000002</v>
      </c>
      <c r="E9" s="20">
        <v>0.95082</v>
      </c>
      <c r="F9" s="20">
        <v>2.57985</v>
      </c>
      <c r="G9" s="20">
        <v>1.3513500000000003</v>
      </c>
      <c r="H9" s="20">
        <v>2.1567000000000003</v>
      </c>
      <c r="I9" s="20">
        <v>2.5389000000000004</v>
      </c>
      <c r="J9" s="20">
        <v>1.4469000000000003</v>
      </c>
      <c r="K9" s="22">
        <f t="shared" si="1"/>
        <v>1.5833999999999999</v>
      </c>
      <c r="L9" s="22">
        <f t="shared" si="2"/>
        <v>2.1526050000000003</v>
      </c>
      <c r="M9" s="22">
        <f t="shared" si="3"/>
        <v>1.90164</v>
      </c>
      <c r="N9" s="22">
        <f t="shared" si="4"/>
        <v>5.1597</v>
      </c>
      <c r="O9" s="22">
        <f t="shared" si="5"/>
        <v>2.7027000000000005</v>
      </c>
      <c r="P9" s="22">
        <f t="shared" si="6"/>
        <v>4.3134000000000006</v>
      </c>
      <c r="Q9" s="22">
        <f t="shared" si="7"/>
        <v>5.0778000000000008</v>
      </c>
      <c r="R9" s="22">
        <f t="shared" si="8"/>
        <v>2.8938000000000006</v>
      </c>
    </row>
    <row r="10" spans="1:18" ht="15.5">
      <c r="A10" s="18" t="s">
        <v>19</v>
      </c>
      <c r="B10" s="19"/>
      <c r="C10" s="20">
        <v>0.9145500000000002</v>
      </c>
      <c r="D10" s="20">
        <v>1.2319125000000002</v>
      </c>
      <c r="E10" s="20">
        <v>1.6811600000000002</v>
      </c>
      <c r="F10" s="20">
        <v>3.7439999999999998</v>
      </c>
      <c r="G10" s="20">
        <v>1.3513500000000003</v>
      </c>
      <c r="H10" s="20">
        <v>3.4125000000000001</v>
      </c>
      <c r="I10" s="20">
        <v>2.8665000000000003</v>
      </c>
      <c r="J10" s="20">
        <v>2.1703500000000004</v>
      </c>
      <c r="K10" s="22">
        <f t="shared" si="1"/>
        <v>1.8291000000000004</v>
      </c>
      <c r="L10" s="22">
        <f t="shared" si="2"/>
        <v>2.4638250000000004</v>
      </c>
      <c r="M10" s="22">
        <f t="shared" si="3"/>
        <v>3.3623200000000004</v>
      </c>
      <c r="N10" s="22">
        <f t="shared" si="4"/>
        <v>7.4879999999999995</v>
      </c>
      <c r="O10" s="22">
        <f t="shared" si="5"/>
        <v>2.7027000000000005</v>
      </c>
      <c r="P10" s="22">
        <f t="shared" si="6"/>
        <v>6.8250000000000002</v>
      </c>
      <c r="Q10" s="22">
        <f t="shared" si="7"/>
        <v>5.7330000000000005</v>
      </c>
      <c r="R10" s="22">
        <f t="shared" si="8"/>
        <v>4.3407000000000009</v>
      </c>
    </row>
    <row r="11" spans="1:18" ht="15.5">
      <c r="A11" s="18" t="s">
        <v>20</v>
      </c>
      <c r="B11" s="19"/>
      <c r="C11" s="20">
        <v>1.6653</v>
      </c>
      <c r="D11" s="20">
        <v>2.0748000000000002</v>
      </c>
      <c r="E11" s="20">
        <v>1.90164</v>
      </c>
      <c r="F11" s="20">
        <v>6.1749999999999998</v>
      </c>
      <c r="G11" s="20">
        <v>2.3205</v>
      </c>
      <c r="H11" s="20">
        <v>5.8694999999999995</v>
      </c>
      <c r="I11" s="20">
        <v>3.8765999999999998</v>
      </c>
      <c r="J11" s="20">
        <v>2.7436500000000001</v>
      </c>
      <c r="K11" s="22">
        <f t="shared" si="1"/>
        <v>3.3306</v>
      </c>
      <c r="L11" s="22">
        <f t="shared" si="2"/>
        <v>4.1496000000000004</v>
      </c>
      <c r="M11" s="22">
        <f t="shared" si="3"/>
        <v>3.80328</v>
      </c>
      <c r="N11" s="22">
        <f t="shared" si="4"/>
        <v>12.35</v>
      </c>
      <c r="O11" s="22">
        <f t="shared" si="5"/>
        <v>4.641</v>
      </c>
      <c r="P11" s="22">
        <f t="shared" si="6"/>
        <v>11.738999999999999</v>
      </c>
      <c r="Q11" s="22">
        <f t="shared" si="7"/>
        <v>7.7531999999999996</v>
      </c>
      <c r="R11" s="22">
        <f t="shared" si="8"/>
        <v>5.4873000000000003</v>
      </c>
    </row>
    <row r="12" spans="1:18" ht="15.5">
      <c r="A12" s="18" t="s">
        <v>21</v>
      </c>
      <c r="B12" s="19"/>
      <c r="C12" s="20">
        <v>2.7027000000000005</v>
      </c>
      <c r="D12" s="20">
        <v>3.0603300000000004</v>
      </c>
      <c r="E12" s="20">
        <v>3.2107400000000004</v>
      </c>
      <c r="F12" s="20">
        <v>7.6700000000000008</v>
      </c>
      <c r="G12" s="20">
        <v>3.2213999999999996</v>
      </c>
      <c r="H12" s="20">
        <v>7.6440000000000001</v>
      </c>
      <c r="I12" s="20">
        <v>6.4155000000000006</v>
      </c>
      <c r="J12" s="20">
        <v>5.0641500000000006</v>
      </c>
      <c r="K12" s="22">
        <f t="shared" si="1"/>
        <v>5.4054000000000011</v>
      </c>
      <c r="L12" s="22">
        <f t="shared" si="2"/>
        <v>6.1206600000000009</v>
      </c>
      <c r="M12" s="22">
        <f t="shared" si="3"/>
        <v>6.4214800000000007</v>
      </c>
      <c r="N12" s="22">
        <f t="shared" si="4"/>
        <v>15.340000000000002</v>
      </c>
      <c r="O12" s="22">
        <f t="shared" si="5"/>
        <v>6.4427999999999992</v>
      </c>
      <c r="P12" s="22">
        <f t="shared" si="6"/>
        <v>15.288</v>
      </c>
      <c r="Q12" s="22">
        <f t="shared" si="7"/>
        <v>12.831000000000001</v>
      </c>
      <c r="R12" s="22">
        <f t="shared" si="8"/>
        <v>10.128300000000001</v>
      </c>
    </row>
    <row r="13" spans="1:18" ht="15.5">
      <c r="A13" s="18" t="s">
        <v>22</v>
      </c>
      <c r="B13" s="19"/>
      <c r="C13" s="20">
        <v>0.94184999999999997</v>
      </c>
      <c r="D13" s="20">
        <v>1.2059775000000001</v>
      </c>
      <c r="E13" s="20">
        <v>1.2126400000000002</v>
      </c>
      <c r="F13" s="20">
        <v>2.7300000000000004</v>
      </c>
      <c r="G13" s="20">
        <v>1.4742000000000002</v>
      </c>
      <c r="H13" s="20">
        <v>2.2522500000000001</v>
      </c>
      <c r="I13" s="20">
        <v>2.7300000000000004</v>
      </c>
      <c r="J13" s="20">
        <v>2.0202</v>
      </c>
      <c r="K13" s="22">
        <f t="shared" si="1"/>
        <v>1.8836999999999999</v>
      </c>
      <c r="L13" s="22">
        <f t="shared" si="2"/>
        <v>2.4119550000000003</v>
      </c>
      <c r="M13" s="22">
        <f t="shared" si="3"/>
        <v>2.4252800000000003</v>
      </c>
      <c r="N13" s="22">
        <f t="shared" si="4"/>
        <v>5.4600000000000009</v>
      </c>
      <c r="O13" s="22">
        <f t="shared" si="5"/>
        <v>2.9484000000000004</v>
      </c>
      <c r="P13" s="22">
        <f t="shared" si="6"/>
        <v>4.5045000000000002</v>
      </c>
      <c r="Q13" s="22">
        <f t="shared" si="7"/>
        <v>5.4600000000000009</v>
      </c>
      <c r="R13" s="22">
        <f t="shared" si="8"/>
        <v>4.0404</v>
      </c>
    </row>
    <row r="14" spans="1:18" ht="15.5">
      <c r="A14" s="18" t="s">
        <v>23</v>
      </c>
      <c r="B14" s="19"/>
      <c r="C14" s="20">
        <v>0.92820000000000014</v>
      </c>
      <c r="D14" s="20">
        <v>1.3356525000000001</v>
      </c>
      <c r="E14" s="20">
        <v>1.5295800000000002</v>
      </c>
      <c r="F14" s="20">
        <v>3.7439999999999998</v>
      </c>
      <c r="G14" s="20">
        <v>1.5424499999999999</v>
      </c>
      <c r="H14" s="20">
        <v>3.4125000000000001</v>
      </c>
      <c r="I14" s="20">
        <v>2.7300000000000004</v>
      </c>
      <c r="J14" s="20">
        <v>2.2385999999999999</v>
      </c>
      <c r="K14" s="22">
        <f t="shared" si="1"/>
        <v>1.8564000000000003</v>
      </c>
      <c r="L14" s="22">
        <f t="shared" si="2"/>
        <v>2.6713050000000003</v>
      </c>
      <c r="M14" s="22">
        <f t="shared" si="3"/>
        <v>3.0591600000000003</v>
      </c>
      <c r="N14" s="22">
        <f t="shared" si="4"/>
        <v>7.4879999999999995</v>
      </c>
      <c r="O14" s="22">
        <f t="shared" si="5"/>
        <v>3.0848999999999998</v>
      </c>
      <c r="P14" s="22">
        <f t="shared" si="6"/>
        <v>6.8250000000000002</v>
      </c>
      <c r="Q14" s="22">
        <f t="shared" si="7"/>
        <v>5.4600000000000009</v>
      </c>
      <c r="R14" s="22">
        <f t="shared" si="8"/>
        <v>4.4771999999999998</v>
      </c>
    </row>
    <row r="15" spans="1:18" ht="15.5">
      <c r="A15" s="18" t="s">
        <v>24</v>
      </c>
      <c r="B15" s="19"/>
      <c r="C15" s="20">
        <v>1.4469000000000003</v>
      </c>
      <c r="D15" s="20">
        <v>2.0229300000000001</v>
      </c>
      <c r="E15" s="20">
        <v>1.90164</v>
      </c>
      <c r="F15" s="20">
        <v>6.1749999999999998</v>
      </c>
      <c r="G15" s="20">
        <v>2.4297000000000004</v>
      </c>
      <c r="H15" s="20">
        <v>5.8694999999999995</v>
      </c>
      <c r="I15" s="20">
        <v>4.0950000000000006</v>
      </c>
      <c r="J15" s="20">
        <v>2.8255499999999998</v>
      </c>
      <c r="K15" s="22">
        <f t="shared" si="1"/>
        <v>2.8938000000000006</v>
      </c>
      <c r="L15" s="22">
        <f t="shared" si="2"/>
        <v>4.0458600000000002</v>
      </c>
      <c r="M15" s="22">
        <f t="shared" si="3"/>
        <v>3.80328</v>
      </c>
      <c r="N15" s="22">
        <f t="shared" si="4"/>
        <v>12.35</v>
      </c>
      <c r="O15" s="22">
        <f t="shared" si="5"/>
        <v>4.8594000000000008</v>
      </c>
      <c r="P15" s="22">
        <f t="shared" si="6"/>
        <v>11.738999999999999</v>
      </c>
      <c r="Q15" s="22">
        <f t="shared" si="7"/>
        <v>8.1900000000000013</v>
      </c>
      <c r="R15" s="22">
        <f t="shared" si="8"/>
        <v>5.6510999999999996</v>
      </c>
    </row>
    <row r="16" spans="1:18" ht="15.5">
      <c r="A16" s="18" t="s">
        <v>25</v>
      </c>
      <c r="B16" s="19"/>
      <c r="C16" s="20">
        <v>2.6344500000000002</v>
      </c>
      <c r="D16" s="20">
        <v>2.9047200000000006</v>
      </c>
      <c r="E16" s="20">
        <v>3.07294</v>
      </c>
      <c r="F16" s="20">
        <v>7.6700000000000008</v>
      </c>
      <c r="G16" s="20">
        <v>3.0985500000000004</v>
      </c>
      <c r="H16" s="20">
        <v>7.9169999999999998</v>
      </c>
      <c r="I16" s="20">
        <v>6.2789999999999999</v>
      </c>
      <c r="J16" s="20">
        <v>4.4908500000000009</v>
      </c>
      <c r="K16" s="22">
        <f t="shared" si="1"/>
        <v>5.2689000000000004</v>
      </c>
      <c r="L16" s="22">
        <f t="shared" si="2"/>
        <v>5.8094400000000013</v>
      </c>
      <c r="M16" s="22">
        <f t="shared" si="3"/>
        <v>6.14588</v>
      </c>
      <c r="N16" s="22">
        <f t="shared" si="4"/>
        <v>15.340000000000002</v>
      </c>
      <c r="O16" s="22">
        <f t="shared" si="5"/>
        <v>6.1971000000000007</v>
      </c>
      <c r="P16" s="22">
        <f t="shared" si="6"/>
        <v>15.834</v>
      </c>
      <c r="Q16" s="22">
        <f t="shared" si="7"/>
        <v>12.558</v>
      </c>
      <c r="R16" s="22">
        <f t="shared" si="8"/>
        <v>8.9817000000000018</v>
      </c>
    </row>
    <row r="17" spans="1:18" ht="15.5">
      <c r="A17" s="18" t="s">
        <v>26</v>
      </c>
      <c r="B17" s="19"/>
      <c r="C17" s="20">
        <v>1.3104</v>
      </c>
      <c r="D17" s="20">
        <v>2.0877675000000004</v>
      </c>
      <c r="E17" s="20">
        <v>1.9981</v>
      </c>
      <c r="F17" s="20">
        <v>2.77095</v>
      </c>
      <c r="G17" s="20">
        <v>2.7300000000000004</v>
      </c>
      <c r="H17" s="20">
        <v>2.2522500000000001</v>
      </c>
      <c r="I17" s="20">
        <v>4.4362500000000002</v>
      </c>
      <c r="J17" s="20">
        <v>3.3306</v>
      </c>
      <c r="K17" s="22">
        <f t="shared" si="1"/>
        <v>2.6208</v>
      </c>
      <c r="L17" s="22">
        <f t="shared" si="2"/>
        <v>4.1755350000000009</v>
      </c>
      <c r="M17" s="22">
        <f t="shared" si="3"/>
        <v>3.9962</v>
      </c>
      <c r="N17" s="22">
        <f t="shared" si="4"/>
        <v>5.5419</v>
      </c>
      <c r="O17" s="22">
        <f t="shared" si="5"/>
        <v>5.4600000000000009</v>
      </c>
      <c r="P17" s="22">
        <f t="shared" si="6"/>
        <v>4.5045000000000002</v>
      </c>
      <c r="Q17" s="22">
        <f t="shared" si="7"/>
        <v>8.8725000000000005</v>
      </c>
      <c r="R17" s="22">
        <f t="shared" si="8"/>
        <v>6.6612</v>
      </c>
    </row>
    <row r="18" spans="1:18" ht="15.5">
      <c r="A18" s="18" t="s">
        <v>27</v>
      </c>
      <c r="B18" s="19"/>
      <c r="C18" s="20">
        <v>1.5015000000000003</v>
      </c>
      <c r="D18" s="20">
        <v>2.1266699999999998</v>
      </c>
      <c r="E18" s="20">
        <v>1.90164</v>
      </c>
      <c r="F18" s="20">
        <v>3.9000000000000004</v>
      </c>
      <c r="G18" s="20">
        <v>2.7300000000000004</v>
      </c>
      <c r="H18" s="20">
        <v>3.6445500000000002</v>
      </c>
      <c r="I18" s="20">
        <v>4.4362500000000002</v>
      </c>
      <c r="J18" s="20">
        <v>3.3306</v>
      </c>
      <c r="K18" s="22">
        <f t="shared" si="1"/>
        <v>3.0030000000000006</v>
      </c>
      <c r="L18" s="22">
        <f t="shared" si="2"/>
        <v>4.2533399999999997</v>
      </c>
      <c r="M18" s="22">
        <f t="shared" si="3"/>
        <v>3.80328</v>
      </c>
      <c r="N18" s="22">
        <f t="shared" si="4"/>
        <v>7.8000000000000007</v>
      </c>
      <c r="O18" s="22">
        <f t="shared" si="5"/>
        <v>5.4600000000000009</v>
      </c>
      <c r="P18" s="22">
        <f t="shared" si="6"/>
        <v>7.2891000000000004</v>
      </c>
      <c r="Q18" s="22">
        <f t="shared" si="7"/>
        <v>8.8725000000000005</v>
      </c>
      <c r="R18" s="22">
        <f t="shared" si="8"/>
        <v>6.6612</v>
      </c>
    </row>
    <row r="19" spans="1:18" ht="15.5">
      <c r="A19" s="18" t="s">
        <v>28</v>
      </c>
      <c r="B19" s="19"/>
      <c r="C19" s="20">
        <v>1.4332500000000001</v>
      </c>
      <c r="D19" s="20">
        <v>2.4249225000000001</v>
      </c>
      <c r="E19" s="20">
        <v>2.1910200000000004</v>
      </c>
      <c r="F19" s="20">
        <v>6.24</v>
      </c>
      <c r="G19" s="20">
        <v>3.0848999999999998</v>
      </c>
      <c r="H19" s="20">
        <v>6.0060000000000011</v>
      </c>
      <c r="I19" s="20">
        <v>4.5045000000000002</v>
      </c>
      <c r="J19" s="20">
        <v>3.3306</v>
      </c>
      <c r="K19" s="22">
        <f t="shared" si="1"/>
        <v>2.8665000000000003</v>
      </c>
      <c r="L19" s="22">
        <f t="shared" si="2"/>
        <v>4.8498450000000002</v>
      </c>
      <c r="M19" s="22">
        <f t="shared" si="3"/>
        <v>4.3820400000000008</v>
      </c>
      <c r="N19" s="22">
        <f t="shared" si="4"/>
        <v>12.48</v>
      </c>
      <c r="O19" s="22">
        <f t="shared" si="5"/>
        <v>6.1697999999999995</v>
      </c>
      <c r="P19" s="22">
        <f t="shared" si="6"/>
        <v>12.012000000000002</v>
      </c>
      <c r="Q19" s="22">
        <f t="shared" si="7"/>
        <v>9.0090000000000003</v>
      </c>
      <c r="R19" s="22">
        <f t="shared" si="8"/>
        <v>6.6612</v>
      </c>
    </row>
    <row r="20" spans="1:18" ht="15.5">
      <c r="A20" s="18" t="s">
        <v>29</v>
      </c>
      <c r="B20" s="19"/>
      <c r="C20" s="20">
        <v>2.4569999999999999</v>
      </c>
      <c r="D20" s="20">
        <v>2.9565900000000003</v>
      </c>
      <c r="E20" s="20">
        <v>3.2107400000000004</v>
      </c>
      <c r="F20" s="20">
        <v>8.32</v>
      </c>
      <c r="G20" s="20">
        <v>3.5763000000000007</v>
      </c>
      <c r="H20" s="20">
        <v>7.9169999999999998</v>
      </c>
      <c r="I20" s="20">
        <v>5.8694999999999995</v>
      </c>
      <c r="J20" s="20">
        <v>4.6273500000000007</v>
      </c>
      <c r="K20" s="22">
        <f t="shared" si="1"/>
        <v>4.9139999999999997</v>
      </c>
      <c r="L20" s="22">
        <f t="shared" si="2"/>
        <v>5.9131800000000005</v>
      </c>
      <c r="M20" s="22">
        <f t="shared" si="3"/>
        <v>6.4214800000000007</v>
      </c>
      <c r="N20" s="22">
        <f t="shared" si="4"/>
        <v>16.64</v>
      </c>
      <c r="O20" s="22">
        <f t="shared" si="5"/>
        <v>7.1526000000000014</v>
      </c>
      <c r="P20" s="22">
        <f t="shared" si="6"/>
        <v>15.834</v>
      </c>
      <c r="Q20" s="22">
        <f t="shared" si="7"/>
        <v>11.738999999999999</v>
      </c>
      <c r="R20" s="22">
        <f t="shared" si="8"/>
        <v>9.2547000000000015</v>
      </c>
    </row>
    <row r="21" spans="1:18" ht="15.5">
      <c r="A21" s="18" t="s">
        <v>30</v>
      </c>
      <c r="B21" s="19"/>
      <c r="C21" s="20">
        <v>1.7745000000000004</v>
      </c>
      <c r="D21" s="20">
        <v>2.4378899999999999</v>
      </c>
      <c r="E21" s="20">
        <v>2.7697799999999999</v>
      </c>
      <c r="F21" s="20">
        <v>2.77095</v>
      </c>
      <c r="G21" s="20">
        <v>3.4944000000000002</v>
      </c>
      <c r="H21" s="20">
        <v>2.3205</v>
      </c>
      <c r="I21" s="20">
        <v>5.8694999999999995</v>
      </c>
      <c r="J21" s="20">
        <v>3.5490000000000008</v>
      </c>
      <c r="K21" s="22">
        <f t="shared" si="1"/>
        <v>3.5490000000000008</v>
      </c>
      <c r="L21" s="22">
        <f t="shared" si="2"/>
        <v>4.8757799999999998</v>
      </c>
      <c r="M21" s="22">
        <f t="shared" si="3"/>
        <v>5.5395599999999998</v>
      </c>
      <c r="N21" s="22">
        <f t="shared" si="4"/>
        <v>5.5419</v>
      </c>
      <c r="O21" s="22">
        <f t="shared" si="5"/>
        <v>6.9888000000000003</v>
      </c>
      <c r="P21" s="22">
        <f t="shared" si="6"/>
        <v>4.641</v>
      </c>
      <c r="Q21" s="22">
        <f t="shared" si="7"/>
        <v>11.738999999999999</v>
      </c>
      <c r="R21" s="22">
        <f t="shared" si="8"/>
        <v>7.0980000000000016</v>
      </c>
    </row>
    <row r="22" spans="1:18" ht="15.5">
      <c r="A22" s="18" t="s">
        <v>31</v>
      </c>
      <c r="B22" s="19"/>
      <c r="C22" s="20">
        <v>1.8700500000000002</v>
      </c>
      <c r="D22" s="20">
        <v>2.4767925000000002</v>
      </c>
      <c r="E22" s="20">
        <v>2.7697799999999999</v>
      </c>
      <c r="F22" s="20">
        <v>3.9649999999999999</v>
      </c>
      <c r="G22" s="20">
        <v>3.3988500000000008</v>
      </c>
      <c r="H22" s="20">
        <v>3.5490000000000008</v>
      </c>
      <c r="I22" s="20">
        <v>5.8694999999999995</v>
      </c>
      <c r="J22" s="20">
        <v>4.3407000000000009</v>
      </c>
      <c r="K22" s="22">
        <f t="shared" si="1"/>
        <v>3.7401000000000004</v>
      </c>
      <c r="L22" s="22">
        <f t="shared" si="2"/>
        <v>4.9535850000000003</v>
      </c>
      <c r="M22" s="22">
        <f t="shared" si="3"/>
        <v>5.5395599999999998</v>
      </c>
      <c r="N22" s="22">
        <f t="shared" si="4"/>
        <v>7.93</v>
      </c>
      <c r="O22" s="22">
        <f t="shared" si="5"/>
        <v>6.7977000000000016</v>
      </c>
      <c r="P22" s="22">
        <f t="shared" si="6"/>
        <v>7.0980000000000016</v>
      </c>
      <c r="Q22" s="22">
        <f t="shared" si="7"/>
        <v>11.738999999999999</v>
      </c>
      <c r="R22" s="22">
        <f t="shared" si="8"/>
        <v>8.6814000000000018</v>
      </c>
    </row>
    <row r="23" spans="1:18" ht="15.5">
      <c r="A23" s="18" t="s">
        <v>32</v>
      </c>
      <c r="B23" s="19"/>
      <c r="C23" s="20">
        <v>2.0475000000000003</v>
      </c>
      <c r="D23" s="20">
        <v>2.6453700000000002</v>
      </c>
      <c r="E23" s="20">
        <v>2.7697799999999999</v>
      </c>
      <c r="F23" s="20">
        <v>6.5</v>
      </c>
      <c r="G23" s="20">
        <v>3.5490000000000008</v>
      </c>
      <c r="H23" s="20">
        <v>6.0060000000000011</v>
      </c>
      <c r="I23" s="20">
        <v>6.142500000000001</v>
      </c>
      <c r="J23" s="20">
        <v>4.3407000000000009</v>
      </c>
      <c r="K23" s="22">
        <f t="shared" si="1"/>
        <v>4.0950000000000006</v>
      </c>
      <c r="L23" s="22">
        <f t="shared" si="2"/>
        <v>5.2907400000000004</v>
      </c>
      <c r="M23" s="22">
        <f t="shared" si="3"/>
        <v>5.5395599999999998</v>
      </c>
      <c r="N23" s="22">
        <f t="shared" si="4"/>
        <v>13</v>
      </c>
      <c r="O23" s="22">
        <f t="shared" si="5"/>
        <v>7.0980000000000016</v>
      </c>
      <c r="P23" s="22">
        <f t="shared" si="6"/>
        <v>12.012000000000002</v>
      </c>
      <c r="Q23" s="22">
        <f t="shared" si="7"/>
        <v>12.285000000000002</v>
      </c>
      <c r="R23" s="22">
        <f t="shared" si="8"/>
        <v>8.6814000000000018</v>
      </c>
    </row>
    <row r="24" spans="1:18" ht="15.5">
      <c r="A24" s="18" t="s">
        <v>33</v>
      </c>
      <c r="B24" s="19"/>
      <c r="C24" s="20">
        <v>2.8255499999999998</v>
      </c>
      <c r="D24" s="20">
        <v>3.0473625000000002</v>
      </c>
      <c r="E24" s="20">
        <v>3.2107400000000004</v>
      </c>
      <c r="F24" s="20">
        <v>8.32</v>
      </c>
      <c r="G24" s="20">
        <v>3.7673999999999999</v>
      </c>
      <c r="H24" s="20">
        <v>7.9169999999999998</v>
      </c>
      <c r="I24" s="20">
        <v>7.6440000000000001</v>
      </c>
      <c r="J24" s="20">
        <v>5.0641500000000006</v>
      </c>
      <c r="K24" s="22">
        <f t="shared" si="1"/>
        <v>5.6510999999999996</v>
      </c>
      <c r="L24" s="22">
        <f t="shared" si="2"/>
        <v>6.0947250000000004</v>
      </c>
      <c r="M24" s="22">
        <f t="shared" si="3"/>
        <v>6.4214800000000007</v>
      </c>
      <c r="N24" s="22">
        <f t="shared" si="4"/>
        <v>16.64</v>
      </c>
      <c r="O24" s="22">
        <f t="shared" si="5"/>
        <v>7.5347999999999997</v>
      </c>
      <c r="P24" s="22">
        <f t="shared" si="6"/>
        <v>15.834</v>
      </c>
      <c r="Q24" s="22">
        <f t="shared" si="7"/>
        <v>15.288</v>
      </c>
      <c r="R24" s="22">
        <f t="shared" si="8"/>
        <v>10.128300000000001</v>
      </c>
    </row>
    <row r="25" spans="1:18" ht="15.5">
      <c r="A25" s="18" t="s">
        <v>34</v>
      </c>
      <c r="B25" s="19"/>
      <c r="C25" s="20">
        <v>3.2623500000000001</v>
      </c>
      <c r="D25" s="20">
        <v>4.3570799999999998</v>
      </c>
      <c r="E25" s="20" t="s">
        <v>13</v>
      </c>
      <c r="F25" s="20" t="s">
        <v>13</v>
      </c>
      <c r="G25" s="20" t="s">
        <v>13</v>
      </c>
      <c r="H25" s="20" t="s">
        <v>13</v>
      </c>
      <c r="I25" s="20" t="s">
        <v>13</v>
      </c>
      <c r="J25" s="20" t="s">
        <v>13</v>
      </c>
      <c r="K25" s="22">
        <f t="shared" si="1"/>
        <v>6.5247000000000002</v>
      </c>
      <c r="L25" s="22">
        <f t="shared" si="2"/>
        <v>8.7141599999999997</v>
      </c>
      <c r="M25" s="22" t="e">
        <f t="shared" si="3"/>
        <v>#VALUE!</v>
      </c>
      <c r="N25" s="22" t="e">
        <f t="shared" si="4"/>
        <v>#VALUE!</v>
      </c>
      <c r="O25" s="22" t="e">
        <f t="shared" si="5"/>
        <v>#VALUE!</v>
      </c>
      <c r="P25" s="22" t="e">
        <f t="shared" si="6"/>
        <v>#VALUE!</v>
      </c>
      <c r="Q25" s="22" t="e">
        <f t="shared" si="7"/>
        <v>#VALUE!</v>
      </c>
      <c r="R25" s="22" t="e">
        <f t="shared" si="8"/>
        <v>#VALUE!</v>
      </c>
    </row>
    <row r="26" spans="1:18" ht="15.5">
      <c r="A26" s="18" t="s">
        <v>35</v>
      </c>
      <c r="B26" s="19"/>
      <c r="C26" s="20">
        <v>3.3306</v>
      </c>
      <c r="D26" s="20">
        <v>4.3570799999999998</v>
      </c>
      <c r="E26" s="20" t="s">
        <v>13</v>
      </c>
      <c r="F26" s="20">
        <v>9.1</v>
      </c>
      <c r="G26" s="20" t="s">
        <v>13</v>
      </c>
      <c r="H26" s="20" t="s">
        <v>13</v>
      </c>
      <c r="I26" s="20" t="s">
        <v>13</v>
      </c>
      <c r="J26" s="20" t="s">
        <v>13</v>
      </c>
      <c r="K26" s="22">
        <f t="shared" si="1"/>
        <v>6.6612</v>
      </c>
      <c r="L26" s="22">
        <f t="shared" si="2"/>
        <v>8.7141599999999997</v>
      </c>
      <c r="M26" s="22" t="e">
        <f t="shared" si="3"/>
        <v>#VALUE!</v>
      </c>
      <c r="N26" s="22">
        <f t="shared" si="4"/>
        <v>18.2</v>
      </c>
      <c r="O26" s="22" t="e">
        <f t="shared" si="5"/>
        <v>#VALUE!</v>
      </c>
      <c r="P26" s="22" t="e">
        <f t="shared" si="6"/>
        <v>#VALUE!</v>
      </c>
      <c r="Q26" s="22" t="e">
        <f t="shared" si="7"/>
        <v>#VALUE!</v>
      </c>
      <c r="R26" s="22" t="e">
        <f t="shared" si="8"/>
        <v>#VALUE!</v>
      </c>
    </row>
    <row r="27" spans="1:18" ht="15.5">
      <c r="A27" s="18" t="s">
        <v>36</v>
      </c>
      <c r="B27" s="19"/>
      <c r="C27" s="20">
        <v>3.3306</v>
      </c>
      <c r="D27" s="20">
        <v>4.3570799999999998</v>
      </c>
      <c r="E27" s="20" t="s">
        <v>13</v>
      </c>
      <c r="F27" s="20" t="s">
        <v>13</v>
      </c>
      <c r="G27" s="20" t="s">
        <v>13</v>
      </c>
      <c r="H27" s="20" t="s">
        <v>13</v>
      </c>
      <c r="I27" s="20" t="s">
        <v>13</v>
      </c>
      <c r="J27" s="20" t="s">
        <v>13</v>
      </c>
      <c r="K27" s="22">
        <f t="shared" si="1"/>
        <v>6.6612</v>
      </c>
      <c r="L27" s="22">
        <f t="shared" si="2"/>
        <v>8.7141599999999997</v>
      </c>
      <c r="M27" s="22" t="e">
        <f t="shared" si="3"/>
        <v>#VALUE!</v>
      </c>
      <c r="N27" s="22" t="e">
        <f t="shared" si="4"/>
        <v>#VALUE!</v>
      </c>
      <c r="O27" s="22" t="e">
        <f t="shared" si="5"/>
        <v>#VALUE!</v>
      </c>
      <c r="P27" s="22" t="e">
        <f t="shared" si="6"/>
        <v>#VALUE!</v>
      </c>
      <c r="Q27" s="22" t="e">
        <f t="shared" si="7"/>
        <v>#VALUE!</v>
      </c>
      <c r="R27" s="22" t="e">
        <f t="shared" si="8"/>
        <v>#VALUE!</v>
      </c>
    </row>
    <row r="28" spans="1:18" ht="15.5">
      <c r="A28" s="18" t="s">
        <v>37</v>
      </c>
      <c r="B28" s="19"/>
      <c r="C28" s="20">
        <v>3.2623500000000001</v>
      </c>
      <c r="D28" s="20">
        <v>4.3570799999999998</v>
      </c>
      <c r="E28" s="20">
        <v>5.1123800000000008</v>
      </c>
      <c r="F28" s="20" t="s">
        <v>13</v>
      </c>
      <c r="G28" s="20" t="s">
        <v>13</v>
      </c>
      <c r="H28" s="20" t="s">
        <v>13</v>
      </c>
      <c r="I28" s="20" t="s">
        <v>13</v>
      </c>
      <c r="J28" s="20" t="s">
        <v>13</v>
      </c>
      <c r="K28" s="22">
        <f t="shared" si="1"/>
        <v>6.5247000000000002</v>
      </c>
      <c r="L28" s="22">
        <f t="shared" si="2"/>
        <v>8.7141599999999997</v>
      </c>
      <c r="M28" s="22">
        <f t="shared" si="3"/>
        <v>10.224760000000002</v>
      </c>
      <c r="N28" s="22" t="e">
        <f t="shared" si="4"/>
        <v>#VALUE!</v>
      </c>
      <c r="O28" s="22" t="e">
        <f t="shared" si="5"/>
        <v>#VALUE!</v>
      </c>
      <c r="P28" s="22" t="e">
        <f t="shared" si="6"/>
        <v>#VALUE!</v>
      </c>
      <c r="Q28" s="22" t="e">
        <f t="shared" si="7"/>
        <v>#VALUE!</v>
      </c>
      <c r="R28" s="22" t="e">
        <f t="shared" si="8"/>
        <v>#VALUE!</v>
      </c>
    </row>
    <row r="29" spans="1:18" ht="15.5">
      <c r="A29" s="18" t="s">
        <v>38</v>
      </c>
      <c r="B29" s="19"/>
      <c r="C29" s="20">
        <v>3.3306</v>
      </c>
      <c r="D29" s="20">
        <v>4.3570799999999998</v>
      </c>
      <c r="E29" s="20">
        <v>5.1123800000000008</v>
      </c>
      <c r="F29" s="20">
        <v>9.1</v>
      </c>
      <c r="G29" s="20">
        <v>6.1561500000000002</v>
      </c>
      <c r="H29" s="20" t="s">
        <v>13</v>
      </c>
      <c r="I29" s="20" t="s">
        <v>13</v>
      </c>
      <c r="J29" s="20" t="s">
        <v>13</v>
      </c>
      <c r="K29" s="22">
        <f t="shared" si="1"/>
        <v>6.6612</v>
      </c>
      <c r="L29" s="22">
        <f t="shared" si="2"/>
        <v>8.7141599999999997</v>
      </c>
      <c r="M29" s="22">
        <f t="shared" si="3"/>
        <v>10.224760000000002</v>
      </c>
      <c r="N29" s="22">
        <f t="shared" si="4"/>
        <v>18.2</v>
      </c>
      <c r="O29" s="22">
        <f t="shared" si="5"/>
        <v>12.3123</v>
      </c>
      <c r="P29" s="22" t="e">
        <f t="shared" si="6"/>
        <v>#VALUE!</v>
      </c>
      <c r="Q29" s="22" t="e">
        <f t="shared" si="7"/>
        <v>#VALUE!</v>
      </c>
      <c r="R29" s="22" t="e">
        <f t="shared" si="8"/>
        <v>#VALUE!</v>
      </c>
    </row>
    <row r="30" spans="1:18" ht="15.5">
      <c r="A30" s="18" t="s">
        <v>39</v>
      </c>
      <c r="B30" s="19"/>
      <c r="C30" s="20">
        <v>3.3306</v>
      </c>
      <c r="D30" s="20">
        <v>4.3570799999999998</v>
      </c>
      <c r="E30" s="20">
        <v>5.1123800000000008</v>
      </c>
      <c r="F30" s="20" t="s">
        <v>13</v>
      </c>
      <c r="G30" s="20">
        <v>6.1561500000000002</v>
      </c>
      <c r="H30" s="20" t="s">
        <v>13</v>
      </c>
      <c r="I30" s="20" t="s">
        <v>13</v>
      </c>
      <c r="J30" s="20" t="s">
        <v>13</v>
      </c>
      <c r="K30" s="22">
        <f t="shared" si="1"/>
        <v>6.6612</v>
      </c>
      <c r="L30" s="22">
        <f t="shared" si="2"/>
        <v>8.7141599999999997</v>
      </c>
      <c r="M30" s="22">
        <f t="shared" si="3"/>
        <v>10.224760000000002</v>
      </c>
      <c r="N30" s="22" t="e">
        <f t="shared" si="4"/>
        <v>#VALUE!</v>
      </c>
      <c r="O30" s="22">
        <f t="shared" si="5"/>
        <v>12.3123</v>
      </c>
      <c r="P30" s="22" t="e">
        <f t="shared" si="6"/>
        <v>#VALUE!</v>
      </c>
      <c r="Q30" s="22" t="e">
        <f t="shared" si="7"/>
        <v>#VALUE!</v>
      </c>
      <c r="R30" s="22" t="e">
        <f t="shared" si="8"/>
        <v>#VALUE!</v>
      </c>
    </row>
    <row r="31" spans="1:18" ht="15.5">
      <c r="A31" s="18" t="s">
        <v>40</v>
      </c>
      <c r="B31" s="19"/>
      <c r="C31" s="20">
        <v>9.75</v>
      </c>
      <c r="D31" s="20" t="s">
        <v>13</v>
      </c>
      <c r="E31" s="20" t="s">
        <v>13</v>
      </c>
      <c r="F31" s="20" t="s">
        <v>13</v>
      </c>
      <c r="G31" s="20" t="s">
        <v>13</v>
      </c>
      <c r="H31" s="20" t="s">
        <v>13</v>
      </c>
      <c r="I31" s="20" t="s">
        <v>13</v>
      </c>
      <c r="J31" s="20" t="s">
        <v>13</v>
      </c>
      <c r="K31" s="22">
        <f t="shared" si="1"/>
        <v>19.5</v>
      </c>
      <c r="L31" s="22" t="e">
        <f t="shared" si="2"/>
        <v>#VALUE!</v>
      </c>
      <c r="M31" s="22" t="e">
        <f t="shared" si="3"/>
        <v>#VALUE!</v>
      </c>
      <c r="N31" s="22" t="e">
        <f t="shared" si="4"/>
        <v>#VALUE!</v>
      </c>
      <c r="O31" s="22" t="e">
        <f t="shared" si="5"/>
        <v>#VALUE!</v>
      </c>
      <c r="P31" s="22" t="e">
        <f t="shared" si="6"/>
        <v>#VALUE!</v>
      </c>
      <c r="Q31" s="22" t="e">
        <f t="shared" si="7"/>
        <v>#VALUE!</v>
      </c>
      <c r="R31" s="22" t="e">
        <f t="shared" si="8"/>
        <v>#VALUE!</v>
      </c>
    </row>
  </sheetData>
  <mergeCells count="30"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A1:J1"/>
    <mergeCell ref="A2:B2"/>
    <mergeCell ref="A4:B4"/>
    <mergeCell ref="A5:B5"/>
    <mergeCell ref="A6:B6"/>
    <mergeCell ref="A7:B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windsor Pin</dc:creator>
  <cp:lastModifiedBy>nfw</cp:lastModifiedBy>
  <dcterms:created xsi:type="dcterms:W3CDTF">2015-06-05T18:17:20Z</dcterms:created>
  <dcterms:modified xsi:type="dcterms:W3CDTF">2026-03-18T06:04:39Z</dcterms:modified>
</cp:coreProperties>
</file>