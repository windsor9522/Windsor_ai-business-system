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Users\Winds\Documents\昂瑞气动\产品分类\黑白系列\"/>
    </mc:Choice>
  </mc:AlternateContent>
  <xr:revisionPtr revIDLastSave="0" documentId="13_ncr:1_{3A7E36AC-6403-4C9A-9963-E03A280F203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货值" sheetId="3" r:id="rId1"/>
    <sheet name="零售价" sheetId="2" r:id="rId2"/>
    <sheet name="采购价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6" i="3"/>
  <c r="D6" i="3"/>
  <c r="E6" i="3"/>
  <c r="F6" i="3"/>
  <c r="G6" i="3"/>
  <c r="H6" i="3"/>
  <c r="I6" i="3"/>
  <c r="J6" i="3"/>
  <c r="K6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C13" i="3"/>
  <c r="D13" i="3"/>
  <c r="E13" i="3"/>
  <c r="F13" i="3"/>
  <c r="G13" i="3"/>
  <c r="H13" i="3"/>
  <c r="I13" i="3"/>
  <c r="J13" i="3"/>
  <c r="K13" i="3"/>
  <c r="C14" i="3"/>
  <c r="D14" i="3"/>
  <c r="E14" i="3"/>
  <c r="F14" i="3"/>
  <c r="G14" i="3"/>
  <c r="H14" i="3"/>
  <c r="I14" i="3"/>
  <c r="J14" i="3"/>
  <c r="K14" i="3"/>
  <c r="C15" i="3"/>
  <c r="D15" i="3"/>
  <c r="E15" i="3"/>
  <c r="F15" i="3"/>
  <c r="G15" i="3"/>
  <c r="H15" i="3"/>
  <c r="I15" i="3"/>
  <c r="J15" i="3"/>
  <c r="K15" i="3"/>
  <c r="C16" i="3"/>
  <c r="D16" i="3"/>
  <c r="E16" i="3"/>
  <c r="F16" i="3"/>
  <c r="G16" i="3"/>
  <c r="H16" i="3"/>
  <c r="I16" i="3"/>
  <c r="J16" i="3"/>
  <c r="K16" i="3"/>
  <c r="C17" i="3"/>
  <c r="D17" i="3"/>
  <c r="E17" i="3"/>
  <c r="F17" i="3"/>
  <c r="G17" i="3"/>
  <c r="H17" i="3"/>
  <c r="I17" i="3"/>
  <c r="J17" i="3"/>
  <c r="K17" i="3"/>
  <c r="C18" i="3"/>
  <c r="D18" i="3"/>
  <c r="E18" i="3"/>
  <c r="F18" i="3"/>
  <c r="G18" i="3"/>
  <c r="H18" i="3"/>
  <c r="I18" i="3"/>
  <c r="J18" i="3"/>
  <c r="K18" i="3"/>
  <c r="C19" i="3"/>
  <c r="D19" i="3"/>
  <c r="E19" i="3"/>
  <c r="F19" i="3"/>
  <c r="G19" i="3"/>
  <c r="H19" i="3"/>
  <c r="I19" i="3"/>
  <c r="J19" i="3"/>
  <c r="K19" i="3"/>
  <c r="C20" i="3"/>
  <c r="D20" i="3"/>
  <c r="E20" i="3"/>
  <c r="F20" i="3"/>
  <c r="G20" i="3"/>
  <c r="H20" i="3"/>
  <c r="I20" i="3"/>
  <c r="J20" i="3"/>
  <c r="K20" i="3"/>
  <c r="C21" i="3"/>
  <c r="D21" i="3"/>
  <c r="E21" i="3"/>
  <c r="F21" i="3"/>
  <c r="G21" i="3"/>
  <c r="H21" i="3"/>
  <c r="I21" i="3"/>
  <c r="J21" i="3"/>
  <c r="K21" i="3"/>
  <c r="C22" i="3"/>
  <c r="D22" i="3"/>
  <c r="E22" i="3"/>
  <c r="F22" i="3"/>
  <c r="G22" i="3"/>
  <c r="H22" i="3"/>
  <c r="I22" i="3"/>
  <c r="J22" i="3"/>
  <c r="K22" i="3"/>
  <c r="C23" i="3"/>
  <c r="D23" i="3"/>
  <c r="E23" i="3"/>
  <c r="F23" i="3"/>
  <c r="G23" i="3"/>
  <c r="H23" i="3"/>
  <c r="I23" i="3"/>
  <c r="J23" i="3"/>
  <c r="K23" i="3"/>
  <c r="C24" i="3"/>
  <c r="D24" i="3"/>
  <c r="E24" i="3"/>
  <c r="F24" i="3"/>
  <c r="G24" i="3"/>
  <c r="H24" i="3"/>
  <c r="I24" i="3"/>
  <c r="J24" i="3"/>
  <c r="K24" i="3"/>
  <c r="C25" i="3"/>
  <c r="D25" i="3"/>
  <c r="E25" i="3"/>
  <c r="F25" i="3"/>
  <c r="G25" i="3"/>
  <c r="H25" i="3"/>
  <c r="I25" i="3"/>
  <c r="J25" i="3"/>
  <c r="K25" i="3"/>
  <c r="C26" i="3"/>
  <c r="D26" i="3"/>
  <c r="E26" i="3"/>
  <c r="F26" i="3"/>
  <c r="G26" i="3"/>
  <c r="H26" i="3"/>
  <c r="I26" i="3"/>
  <c r="J26" i="3"/>
  <c r="K26" i="3"/>
  <c r="C27" i="3"/>
  <c r="D27" i="3"/>
  <c r="E27" i="3"/>
  <c r="F27" i="3"/>
  <c r="G27" i="3"/>
  <c r="H27" i="3"/>
  <c r="I27" i="3"/>
  <c r="J27" i="3"/>
  <c r="K27" i="3"/>
  <c r="C28" i="3"/>
  <c r="D28" i="3"/>
  <c r="E28" i="3"/>
  <c r="F28" i="3"/>
  <c r="G28" i="3"/>
  <c r="H28" i="3"/>
  <c r="I28" i="3"/>
  <c r="J28" i="3"/>
  <c r="K28" i="3"/>
  <c r="C29" i="3"/>
  <c r="D29" i="3"/>
  <c r="E29" i="3"/>
  <c r="F29" i="3"/>
  <c r="G29" i="3"/>
  <c r="H29" i="3"/>
  <c r="I29" i="3"/>
  <c r="J29" i="3"/>
  <c r="K29" i="3"/>
  <c r="C30" i="3"/>
  <c r="D30" i="3"/>
  <c r="E30" i="3"/>
  <c r="F30" i="3"/>
  <c r="G30" i="3"/>
  <c r="H30" i="3"/>
  <c r="I30" i="3"/>
  <c r="J30" i="3"/>
  <c r="K30" i="3"/>
  <c r="D3" i="3"/>
  <c r="E3" i="3"/>
  <c r="F3" i="3"/>
  <c r="G3" i="3"/>
  <c r="H3" i="3"/>
  <c r="I3" i="3"/>
  <c r="J3" i="3"/>
  <c r="K3" i="3"/>
  <c r="C3" i="3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C15" i="2"/>
  <c r="D15" i="2"/>
  <c r="E15" i="2"/>
  <c r="F15" i="2"/>
  <c r="G15" i="2"/>
  <c r="H15" i="2"/>
  <c r="I15" i="2"/>
  <c r="J15" i="2"/>
  <c r="K15" i="2"/>
  <c r="C16" i="2"/>
  <c r="D16" i="2"/>
  <c r="E16" i="2"/>
  <c r="F16" i="2"/>
  <c r="G16" i="2"/>
  <c r="H16" i="2"/>
  <c r="I16" i="2"/>
  <c r="J16" i="2"/>
  <c r="K16" i="2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C19" i="2"/>
  <c r="D19" i="2"/>
  <c r="E19" i="2"/>
  <c r="F19" i="2"/>
  <c r="G19" i="2"/>
  <c r="H19" i="2"/>
  <c r="I19" i="2"/>
  <c r="J19" i="2"/>
  <c r="K19" i="2"/>
  <c r="C20" i="2"/>
  <c r="D20" i="2"/>
  <c r="E20" i="2"/>
  <c r="F20" i="2"/>
  <c r="G20" i="2"/>
  <c r="H20" i="2"/>
  <c r="I20" i="2"/>
  <c r="J20" i="2"/>
  <c r="K20" i="2"/>
  <c r="C21" i="2"/>
  <c r="D21" i="2"/>
  <c r="E21" i="2"/>
  <c r="F21" i="2"/>
  <c r="G21" i="2"/>
  <c r="H21" i="2"/>
  <c r="I21" i="2"/>
  <c r="J21" i="2"/>
  <c r="K21" i="2"/>
  <c r="C22" i="2"/>
  <c r="D22" i="2"/>
  <c r="E22" i="2"/>
  <c r="F22" i="2"/>
  <c r="G22" i="2"/>
  <c r="H22" i="2"/>
  <c r="I22" i="2"/>
  <c r="J22" i="2"/>
  <c r="K22" i="2"/>
  <c r="C23" i="2"/>
  <c r="D23" i="2"/>
  <c r="E23" i="2"/>
  <c r="F23" i="2"/>
  <c r="G23" i="2"/>
  <c r="H23" i="2"/>
  <c r="I23" i="2"/>
  <c r="J23" i="2"/>
  <c r="K23" i="2"/>
  <c r="C24" i="2"/>
  <c r="D24" i="2"/>
  <c r="E24" i="2"/>
  <c r="F24" i="2"/>
  <c r="G24" i="2"/>
  <c r="H24" i="2"/>
  <c r="I24" i="2"/>
  <c r="J24" i="2"/>
  <c r="K24" i="2"/>
  <c r="C25" i="2"/>
  <c r="D25" i="2"/>
  <c r="E25" i="2"/>
  <c r="F25" i="2"/>
  <c r="G25" i="2"/>
  <c r="H25" i="2"/>
  <c r="I25" i="2"/>
  <c r="J25" i="2"/>
  <c r="K25" i="2"/>
  <c r="C26" i="2"/>
  <c r="D26" i="2"/>
  <c r="E26" i="2"/>
  <c r="F26" i="2"/>
  <c r="G26" i="2"/>
  <c r="H26" i="2"/>
  <c r="I26" i="2"/>
  <c r="J26" i="2"/>
  <c r="K26" i="2"/>
  <c r="C27" i="2"/>
  <c r="D27" i="2"/>
  <c r="E27" i="2"/>
  <c r="F27" i="2"/>
  <c r="G27" i="2"/>
  <c r="H27" i="2"/>
  <c r="I27" i="2"/>
  <c r="J27" i="2"/>
  <c r="K27" i="2"/>
  <c r="C28" i="2"/>
  <c r="D28" i="2"/>
  <c r="E28" i="2"/>
  <c r="F28" i="2"/>
  <c r="G28" i="2"/>
  <c r="H28" i="2"/>
  <c r="I28" i="2"/>
  <c r="J28" i="2"/>
  <c r="K28" i="2"/>
  <c r="C29" i="2"/>
  <c r="D29" i="2"/>
  <c r="E29" i="2"/>
  <c r="F29" i="2"/>
  <c r="G29" i="2"/>
  <c r="H29" i="2"/>
  <c r="I29" i="2"/>
  <c r="J29" i="2"/>
  <c r="K29" i="2"/>
  <c r="C30" i="2"/>
  <c r="D30" i="2"/>
  <c r="E30" i="2"/>
  <c r="F30" i="2"/>
  <c r="G30" i="2"/>
  <c r="H30" i="2"/>
  <c r="I30" i="2"/>
  <c r="J30" i="2"/>
  <c r="K30" i="2"/>
  <c r="D3" i="2"/>
  <c r="E3" i="2"/>
  <c r="F3" i="2"/>
  <c r="G3" i="2"/>
  <c r="H3" i="2"/>
  <c r="I3" i="2"/>
  <c r="J3" i="2"/>
  <c r="K3" i="2"/>
  <c r="C3" i="2"/>
</calcChain>
</file>

<file path=xl/sharedStrings.xml><?xml version="1.0" encoding="utf-8"?>
<sst xmlns="http://schemas.openxmlformats.org/spreadsheetml/2006/main" count="164" uniqueCount="42">
  <si>
    <t>ANGRUK  成本价</t>
  </si>
  <si>
    <r>
      <t xml:space="preserve">          </t>
    </r>
    <r>
      <rPr>
        <b/>
        <sz val="12"/>
        <color indexed="63"/>
        <rFont val="Arial Unicode MS"/>
        <family val="2"/>
      </rPr>
      <t>图</t>
    </r>
    <r>
      <rPr>
        <b/>
        <sz val="12"/>
        <color indexed="63"/>
        <rFont val="Arial Unicode MS"/>
        <family val="2"/>
      </rPr>
      <t>案</t>
    </r>
  </si>
  <si>
    <r>
      <t>型</t>
    </r>
    <r>
      <rPr>
        <b/>
        <sz val="12"/>
        <color indexed="63"/>
        <rFont val="Arial Unicode MS"/>
        <family val="2"/>
      </rPr>
      <t>号</t>
    </r>
  </si>
  <si>
    <t xml:space="preserve">  价格</t>
  </si>
  <si>
    <r>
      <t>PC螺</t>
    </r>
    <r>
      <rPr>
        <b/>
        <sz val="10"/>
        <color indexed="63"/>
        <rFont val="Arial Unicode MS"/>
        <family val="2"/>
      </rPr>
      <t>纹直通</t>
    </r>
  </si>
  <si>
    <r>
      <t>PL螺</t>
    </r>
    <r>
      <rPr>
        <b/>
        <sz val="10"/>
        <color indexed="63"/>
        <rFont val="Arial Unicode MS"/>
        <family val="2"/>
      </rPr>
      <t>纹弯通</t>
    </r>
  </si>
  <si>
    <r>
      <t xml:space="preserve"> PCF            </t>
    </r>
    <r>
      <rPr>
        <b/>
        <sz val="10"/>
        <color indexed="63"/>
        <rFont val="Arial Unicode MS"/>
        <family val="2"/>
      </rPr>
      <t>内</t>
    </r>
    <r>
      <rPr>
        <b/>
        <sz val="10"/>
        <color indexed="63"/>
        <rFont val="Arial Unicode MS"/>
        <family val="2"/>
      </rPr>
      <t>螺</t>
    </r>
    <r>
      <rPr>
        <b/>
        <sz val="10"/>
        <color indexed="63"/>
        <rFont val="Arial Unicode MS"/>
        <family val="2"/>
      </rPr>
      <t>纹</t>
    </r>
    <r>
      <rPr>
        <b/>
        <sz val="10"/>
        <color indexed="63"/>
        <rFont val="Arial Unicode MS"/>
        <family val="2"/>
      </rPr>
      <t>直通</t>
    </r>
  </si>
  <si>
    <r>
      <t xml:space="preserve"> POC            螺</t>
    </r>
    <r>
      <rPr>
        <b/>
        <sz val="10"/>
        <color indexed="63"/>
        <rFont val="Arial Unicode MS"/>
        <family val="2"/>
      </rPr>
      <t>纹</t>
    </r>
    <r>
      <rPr>
        <b/>
        <sz val="10"/>
        <color indexed="63"/>
        <rFont val="Arial Unicode MS"/>
        <family val="2"/>
      </rPr>
      <t>直通</t>
    </r>
  </si>
  <si>
    <r>
      <t>SL                 L型</t>
    </r>
    <r>
      <rPr>
        <b/>
        <sz val="10"/>
        <color indexed="63"/>
        <rFont val="Arial Unicode MS"/>
        <family val="2"/>
      </rPr>
      <t>节</t>
    </r>
    <r>
      <rPr>
        <b/>
        <sz val="10"/>
        <color indexed="63"/>
        <rFont val="Arial Unicode MS"/>
        <family val="2"/>
      </rPr>
      <t>流</t>
    </r>
    <r>
      <rPr>
        <b/>
        <sz val="10"/>
        <color indexed="63"/>
        <rFont val="Arial Unicode MS"/>
        <family val="2"/>
      </rPr>
      <t>阀</t>
    </r>
  </si>
  <si>
    <t xml:space="preserve">PB/PX/PD 螺纹三通       </t>
  </si>
  <si>
    <t>PH                外六角</t>
  </si>
  <si>
    <r>
      <t>PL45</t>
    </r>
    <r>
      <rPr>
        <b/>
        <sz val="10"/>
        <color indexed="63"/>
        <rFont val="SimSun"/>
        <charset val="134"/>
      </rPr>
      <t>℃</t>
    </r>
    <r>
      <rPr>
        <b/>
        <sz val="10"/>
        <color indexed="63"/>
        <rFont val="Arial Unicode MS"/>
        <family val="2"/>
      </rPr>
      <t xml:space="preserve">      </t>
    </r>
    <r>
      <rPr>
        <b/>
        <sz val="10"/>
        <color indexed="63"/>
        <rFont val="SimSun"/>
        <charset val="134"/>
      </rPr>
      <t>快插接头</t>
    </r>
  </si>
  <si>
    <r>
      <t>PLL                加</t>
    </r>
    <r>
      <rPr>
        <b/>
        <sz val="10"/>
        <color indexed="63"/>
        <rFont val="Arial Unicode MS"/>
        <family val="2"/>
      </rPr>
      <t>长螺纹弯通</t>
    </r>
  </si>
  <si>
    <r>
      <t>4-M5</t>
    </r>
    <r>
      <rPr>
        <b/>
        <sz val="12"/>
        <color indexed="8"/>
        <rFont val="Microsoft YaHei"/>
        <family val="2"/>
        <charset val="134"/>
      </rPr>
      <t>、</t>
    </r>
    <r>
      <rPr>
        <b/>
        <sz val="12"/>
        <color indexed="8"/>
        <rFont val="Arial Unicode MS"/>
        <family val="2"/>
      </rPr>
      <t>M6</t>
    </r>
  </si>
  <si>
    <t>4-PT01</t>
  </si>
  <si>
    <t>4-PT02</t>
  </si>
  <si>
    <t>4-PT03</t>
  </si>
  <si>
    <t>－</t>
  </si>
  <si>
    <t>6-M5</t>
  </si>
  <si>
    <t>6-PT01</t>
  </si>
  <si>
    <t>6-PT02</t>
  </si>
  <si>
    <t>6-PT03</t>
  </si>
  <si>
    <t>6-PT04</t>
  </si>
  <si>
    <t>8-PT01</t>
  </si>
  <si>
    <t>8-PT02</t>
  </si>
  <si>
    <t>8-PT03</t>
  </si>
  <si>
    <t>8-PT04</t>
  </si>
  <si>
    <t>10-PT01</t>
  </si>
  <si>
    <t>10-PT02</t>
  </si>
  <si>
    <t>10-PT03</t>
  </si>
  <si>
    <t>10-PT04</t>
  </si>
  <si>
    <t>12-PT01</t>
  </si>
  <si>
    <t>12-PT02</t>
  </si>
  <si>
    <t>12-PT03</t>
  </si>
  <si>
    <t>12-PT04</t>
  </si>
  <si>
    <t>14-PT02</t>
  </si>
  <si>
    <t>14-PT03</t>
  </si>
  <si>
    <t>14-PT04</t>
  </si>
  <si>
    <t>16-PT02</t>
  </si>
  <si>
    <t>16-PT03</t>
  </si>
  <si>
    <t>16-PT04</t>
  </si>
  <si>
    <t>16-PT06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</si>
</sst>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0.00_);[Red]\(0.00\)"/>
  </numFmts>
  <fonts count="1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26"/>
      <name val="等线 Light"/>
      <family val="3"/>
      <charset val="134"/>
      <scheme val="major"/>
    </font>
    <font>
      <b/>
      <sz val="12"/>
      <color theme="3" tint="-0.249977111117893"/>
      <name val="Arial Unicode MS"/>
      <family val="2"/>
    </font>
    <font>
      <b/>
      <sz val="12"/>
      <color indexed="63"/>
      <name val="Arial Unicode MS"/>
      <family val="2"/>
    </font>
    <font>
      <sz val="11"/>
      <color theme="3" tint="-0.249977111117893"/>
      <name val="Arial Unicode MS"/>
      <family val="2"/>
    </font>
    <font>
      <b/>
      <sz val="10"/>
      <color theme="3" tint="-0.249977111117893"/>
      <name val="Arial Unicode MS"/>
      <family val="2"/>
    </font>
    <font>
      <b/>
      <sz val="10"/>
      <color indexed="63"/>
      <name val="Arial Unicode MS"/>
      <family val="2"/>
    </font>
    <font>
      <b/>
      <sz val="10"/>
      <color indexed="63"/>
      <name val="SimSun"/>
      <charset val="134"/>
    </font>
    <font>
      <b/>
      <sz val="12"/>
      <color rgb="FF000000"/>
      <name val="Arial Unicode MS"/>
      <family val="2"/>
    </font>
    <font>
      <b/>
      <sz val="12"/>
      <color indexed="8"/>
      <name val="Microsoft YaHei"/>
      <family val="2"/>
      <charset val="134"/>
    </font>
    <font>
      <b/>
      <sz val="12"/>
      <color indexed="8"/>
      <name val="Arial Unicode MS"/>
      <family val="2"/>
    </font>
    <font>
      <b/>
      <sz val="12"/>
      <name val="Arial Unicode MS"/>
      <family val="2"/>
    </font>
    <font>
      <b/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2">
    <xf numFmtId="0" fontId="0" fillId="0" borderId="0"/>
    <xf numFmtId="0" fontId="2" fillId="0" borderId="0" applyNumberFormat="0" applyFill="0"/>
  </cellStyleXfs>
  <cellXfs count="24">
    <xf numFmtId="0" fontId="0" fillId="0" borderId="0" xfId="0"/>
    <xf numFmtId="0" fontId="0" fillId="0" borderId="0" xfId="0" applyAlignment="1">
      <alignment vertical="center"/>
    </xf>
    <xf numFmtId="0" fontId="6" fillId="2" borderId="3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0" fontId="6" fillId="2" borderId="0" xfId="1" applyFont="1" applyFill="1" applyAlignment="1">
      <alignment vertical="center"/>
    </xf>
    <xf numFmtId="177" fontId="6" fillId="2" borderId="4" xfId="1" applyNumberFormat="1" applyFont="1" applyFill="1" applyBorder="1" applyAlignment="1">
      <alignment vertical="center"/>
    </xf>
    <xf numFmtId="177" fontId="14" fillId="3" borderId="1" xfId="0" applyNumberFormat="1" applyFont="1" applyFill="1" applyBorder="1" applyAlignment="1">
      <alignment horizontal="center" vertical="center"/>
    </xf>
    <xf numFmtId="177" fontId="14" fillId="3" borderId="7" xfId="0" applyNumberFormat="1" applyFont="1" applyFill="1" applyBorder="1" applyAlignment="1">
      <alignment horizontal="center" vertical="center"/>
    </xf>
    <xf numFmtId="177" fontId="14" fillId="3" borderId="8" xfId="0" applyNumberFormat="1" applyFont="1" applyFill="1" applyBorder="1" applyAlignment="1">
      <alignment horizontal="center" vertical="center"/>
    </xf>
    <xf numFmtId="177" fontId="14" fillId="3" borderId="9" xfId="0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wrapText="1"/>
    </xf>
    <xf numFmtId="49" fontId="4" fillId="2" borderId="6" xfId="1" applyNumberFormat="1" applyFont="1" applyFill="1" applyBorder="1"/>
    <xf numFmtId="0" fontId="7" fillId="2" borderId="1" xfId="1" applyFont="1" applyFill="1" applyBorder="1" applyAlignment="1">
      <alignment horizontal="center" wrapText="1"/>
    </xf>
    <xf numFmtId="177" fontId="7" fillId="2" borderId="1" xfId="1" applyNumberFormat="1" applyFont="1" applyFill="1" applyBorder="1" applyAlignment="1">
      <alignment horizont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13" fillId="0" borderId="1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 wrapText="1"/>
    </xf>
    <xf numFmtId="0" fontId="13" fillId="0" borderId="1" xfId="1" applyFont="1" applyFill="1" applyBorder="1" applyAlignment="1">
      <alignment horizontal="center" vertical="center" wrapText="1"/>
    </xf>
    <xf numFmtId="58" fontId="10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5 2" xfId="1" xr:uid="{95E6C2C3-FA72-410F-8F77-8BB96B1C5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0</xdr:rowOff>
    </xdr:from>
    <xdr:to>
      <xdr:col>0</xdr:col>
      <xdr:colOff>503292</xdr:colOff>
      <xdr:row>1</xdr:row>
      <xdr:rowOff>1109382</xdr:rowOff>
    </xdr:to>
    <xdr:sp macro="" textlink="">
      <xdr:nvSpPr>
        <xdr:cNvPr id="2" name="直接连接符 1">
          <a:extLst>
            <a:ext uri="{FF2B5EF4-FFF2-40B4-BE49-F238E27FC236}">
              <a16:creationId xmlns:a16="http://schemas.microsoft.com/office/drawing/2014/main" id="{9E7DC48A-5DF1-4A4B-9E04-3809E4056D9B}"/>
            </a:ext>
          </a:extLst>
        </xdr:cNvPr>
        <xdr:cNvSpPr>
          <a:spLocks noChangeShapeType="1"/>
        </xdr:cNvSpPr>
      </xdr:nvSpPr>
      <xdr:spPr bwMode="auto">
        <a:xfrm>
          <a:off x="257175" y="619125"/>
          <a:ext cx="246117" cy="1109382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266701</xdr:colOff>
      <xdr:row>1</xdr:row>
      <xdr:rowOff>9526</xdr:rowOff>
    </xdr:from>
    <xdr:to>
      <xdr:col>0</xdr:col>
      <xdr:colOff>638953</xdr:colOff>
      <xdr:row>1</xdr:row>
      <xdr:rowOff>153602</xdr:rowOff>
    </xdr:to>
    <xdr:sp macro="" textlink="">
      <xdr:nvSpPr>
        <xdr:cNvPr id="3" name="直接连接符 2">
          <a:extLst>
            <a:ext uri="{FF2B5EF4-FFF2-40B4-BE49-F238E27FC236}">
              <a16:creationId xmlns:a16="http://schemas.microsoft.com/office/drawing/2014/main" id="{4F094709-BC0D-4DFD-AF76-30D66D187DFB}"/>
            </a:ext>
          </a:extLst>
        </xdr:cNvPr>
        <xdr:cNvSpPr>
          <a:spLocks noChangeShapeType="1"/>
        </xdr:cNvSpPr>
      </xdr:nvSpPr>
      <xdr:spPr bwMode="auto">
        <a:xfrm>
          <a:off x="266701" y="628651"/>
          <a:ext cx="372252" cy="144076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276226</xdr:colOff>
      <xdr:row>1</xdr:row>
      <xdr:rowOff>9526</xdr:rowOff>
    </xdr:from>
    <xdr:to>
      <xdr:col>4</xdr:col>
      <xdr:colOff>946177</xdr:colOff>
      <xdr:row>1</xdr:row>
      <xdr:rowOff>866776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5AF8A0A-DCAA-4463-9F70-4EB457C24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6" y="628651"/>
          <a:ext cx="66995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1</xdr:row>
      <xdr:rowOff>9526</xdr:rowOff>
    </xdr:from>
    <xdr:to>
      <xdr:col>2</xdr:col>
      <xdr:colOff>909918</xdr:colOff>
      <xdr:row>1</xdr:row>
      <xdr:rowOff>881184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C088E68A-5E6D-4EBF-8C93-24F2DF497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628651"/>
          <a:ext cx="60511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1</xdr:row>
      <xdr:rowOff>9526</xdr:rowOff>
    </xdr:from>
    <xdr:to>
      <xdr:col>5</xdr:col>
      <xdr:colOff>923845</xdr:colOff>
      <xdr:row>1</xdr:row>
      <xdr:rowOff>881184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1A561707-7B40-402F-9152-EB89D0084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628651"/>
          <a:ext cx="561895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1</xdr:row>
      <xdr:rowOff>9526</xdr:rowOff>
    </xdr:from>
    <xdr:to>
      <xdr:col>3</xdr:col>
      <xdr:colOff>907357</xdr:colOff>
      <xdr:row>1</xdr:row>
      <xdr:rowOff>881184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A0BFCDCB-C70D-4630-9510-876D1DB24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628651"/>
          <a:ext cx="583507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295275</xdr:colOff>
      <xdr:row>1</xdr:row>
      <xdr:rowOff>9526</xdr:rowOff>
    </xdr:from>
    <xdr:to>
      <xdr:col>7</xdr:col>
      <xdr:colOff>958023</xdr:colOff>
      <xdr:row>1</xdr:row>
      <xdr:rowOff>881184</xdr:rowOff>
    </xdr:to>
    <xdr:pic>
      <xdr:nvPicPr>
        <xdr:cNvPr id="8" name="图片 5">
          <a:extLst>
            <a:ext uri="{FF2B5EF4-FFF2-40B4-BE49-F238E27FC236}">
              <a16:creationId xmlns:a16="http://schemas.microsoft.com/office/drawing/2014/main" id="{ED5E5D64-6913-4BE1-BB63-94523B4C2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8651"/>
          <a:ext cx="66274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285751</xdr:colOff>
      <xdr:row>1</xdr:row>
      <xdr:rowOff>9526</xdr:rowOff>
    </xdr:from>
    <xdr:to>
      <xdr:col>6</xdr:col>
      <xdr:colOff>955703</xdr:colOff>
      <xdr:row>1</xdr:row>
      <xdr:rowOff>881184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F5FE0AF1-C098-455B-8701-3BDA33DF6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628651"/>
          <a:ext cx="669952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295276</xdr:colOff>
      <xdr:row>1</xdr:row>
      <xdr:rowOff>9525</xdr:rowOff>
    </xdr:from>
    <xdr:to>
      <xdr:col>8</xdr:col>
      <xdr:colOff>950820</xdr:colOff>
      <xdr:row>1</xdr:row>
      <xdr:rowOff>873978</xdr:rowOff>
    </xdr:to>
    <xdr:pic>
      <xdr:nvPicPr>
        <xdr:cNvPr id="10" name="图片 7">
          <a:extLst>
            <a:ext uri="{FF2B5EF4-FFF2-40B4-BE49-F238E27FC236}">
              <a16:creationId xmlns:a16="http://schemas.microsoft.com/office/drawing/2014/main" id="{200BF14B-9BC7-4E36-8AE8-E1CAA8463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6" y="628650"/>
          <a:ext cx="655544" cy="8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304800</xdr:colOff>
      <xdr:row>1</xdr:row>
      <xdr:rowOff>19051</xdr:rowOff>
    </xdr:from>
    <xdr:to>
      <xdr:col>10</xdr:col>
      <xdr:colOff>931529</xdr:colOff>
      <xdr:row>1</xdr:row>
      <xdr:rowOff>876301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B020246B-1C7F-4D88-9504-3F0CAFED7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638176"/>
          <a:ext cx="62672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314326</xdr:colOff>
      <xdr:row>1</xdr:row>
      <xdr:rowOff>19051</xdr:rowOff>
    </xdr:from>
    <xdr:to>
      <xdr:col>9</xdr:col>
      <xdr:colOff>962666</xdr:colOff>
      <xdr:row>1</xdr:row>
      <xdr:rowOff>876301</xdr:rowOff>
    </xdr:to>
    <xdr:pic>
      <xdr:nvPicPr>
        <xdr:cNvPr id="12" name="图片 9">
          <a:extLst>
            <a:ext uri="{FF2B5EF4-FFF2-40B4-BE49-F238E27FC236}">
              <a16:creationId xmlns:a16="http://schemas.microsoft.com/office/drawing/2014/main" id="{9909134D-EB8E-4D5F-82DE-CD006DFFA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6" y="638176"/>
          <a:ext cx="6483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</xdr:row>
      <xdr:rowOff>0</xdr:rowOff>
    </xdr:from>
    <xdr:to>
      <xdr:col>0</xdr:col>
      <xdr:colOff>503292</xdr:colOff>
      <xdr:row>1</xdr:row>
      <xdr:rowOff>1109382</xdr:rowOff>
    </xdr:to>
    <xdr:sp macro="" textlink="">
      <xdr:nvSpPr>
        <xdr:cNvPr id="2" name="直接连接符 1">
          <a:extLst>
            <a:ext uri="{FF2B5EF4-FFF2-40B4-BE49-F238E27FC236}">
              <a16:creationId xmlns:a16="http://schemas.microsoft.com/office/drawing/2014/main" id="{A7E35103-7455-49FD-B7CC-0B536C7615DD}"/>
            </a:ext>
          </a:extLst>
        </xdr:cNvPr>
        <xdr:cNvSpPr>
          <a:spLocks noChangeShapeType="1"/>
        </xdr:cNvSpPr>
      </xdr:nvSpPr>
      <xdr:spPr bwMode="auto">
        <a:xfrm>
          <a:off x="257175" y="619125"/>
          <a:ext cx="246117" cy="1109382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266701</xdr:colOff>
      <xdr:row>1</xdr:row>
      <xdr:rowOff>9526</xdr:rowOff>
    </xdr:from>
    <xdr:to>
      <xdr:col>0</xdr:col>
      <xdr:colOff>638953</xdr:colOff>
      <xdr:row>1</xdr:row>
      <xdr:rowOff>153602</xdr:rowOff>
    </xdr:to>
    <xdr:sp macro="" textlink="">
      <xdr:nvSpPr>
        <xdr:cNvPr id="3" name="直接连接符 2">
          <a:extLst>
            <a:ext uri="{FF2B5EF4-FFF2-40B4-BE49-F238E27FC236}">
              <a16:creationId xmlns:a16="http://schemas.microsoft.com/office/drawing/2014/main" id="{1DAE3F95-98A0-4C09-B50A-65FE4FFFD345}"/>
            </a:ext>
          </a:extLst>
        </xdr:cNvPr>
        <xdr:cNvSpPr>
          <a:spLocks noChangeShapeType="1"/>
        </xdr:cNvSpPr>
      </xdr:nvSpPr>
      <xdr:spPr bwMode="auto">
        <a:xfrm>
          <a:off x="266701" y="628651"/>
          <a:ext cx="372252" cy="144076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276226</xdr:colOff>
      <xdr:row>1</xdr:row>
      <xdr:rowOff>9526</xdr:rowOff>
    </xdr:from>
    <xdr:to>
      <xdr:col>4</xdr:col>
      <xdr:colOff>946177</xdr:colOff>
      <xdr:row>1</xdr:row>
      <xdr:rowOff>866776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92420884-829A-40FC-8A62-0BCA2ABA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6" y="628651"/>
          <a:ext cx="66995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1</xdr:row>
      <xdr:rowOff>9526</xdr:rowOff>
    </xdr:from>
    <xdr:to>
      <xdr:col>2</xdr:col>
      <xdr:colOff>909918</xdr:colOff>
      <xdr:row>1</xdr:row>
      <xdr:rowOff>881184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A90A2186-7776-4DE5-8978-7A1703FD0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628651"/>
          <a:ext cx="60511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1</xdr:row>
      <xdr:rowOff>9526</xdr:rowOff>
    </xdr:from>
    <xdr:to>
      <xdr:col>5</xdr:col>
      <xdr:colOff>923845</xdr:colOff>
      <xdr:row>1</xdr:row>
      <xdr:rowOff>881184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C3B8B1A9-0984-4A05-93F1-61A856B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628651"/>
          <a:ext cx="561895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1</xdr:row>
      <xdr:rowOff>9526</xdr:rowOff>
    </xdr:from>
    <xdr:to>
      <xdr:col>3</xdr:col>
      <xdr:colOff>907357</xdr:colOff>
      <xdr:row>1</xdr:row>
      <xdr:rowOff>881184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295DB9FB-8738-47ED-A1CD-CD08848ED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628651"/>
          <a:ext cx="583507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295275</xdr:colOff>
      <xdr:row>1</xdr:row>
      <xdr:rowOff>9526</xdr:rowOff>
    </xdr:from>
    <xdr:to>
      <xdr:col>7</xdr:col>
      <xdr:colOff>958023</xdr:colOff>
      <xdr:row>1</xdr:row>
      <xdr:rowOff>881184</xdr:rowOff>
    </xdr:to>
    <xdr:pic>
      <xdr:nvPicPr>
        <xdr:cNvPr id="8" name="图片 5">
          <a:extLst>
            <a:ext uri="{FF2B5EF4-FFF2-40B4-BE49-F238E27FC236}">
              <a16:creationId xmlns:a16="http://schemas.microsoft.com/office/drawing/2014/main" id="{07FBEB12-18B9-4F5F-B077-39DB58DE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8651"/>
          <a:ext cx="66274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285751</xdr:colOff>
      <xdr:row>1</xdr:row>
      <xdr:rowOff>9526</xdr:rowOff>
    </xdr:from>
    <xdr:to>
      <xdr:col>6</xdr:col>
      <xdr:colOff>955703</xdr:colOff>
      <xdr:row>1</xdr:row>
      <xdr:rowOff>881184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66DB0ABC-35BB-4A61-9C45-74203C53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628651"/>
          <a:ext cx="669952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295276</xdr:colOff>
      <xdr:row>1</xdr:row>
      <xdr:rowOff>9525</xdr:rowOff>
    </xdr:from>
    <xdr:to>
      <xdr:col>8</xdr:col>
      <xdr:colOff>950820</xdr:colOff>
      <xdr:row>1</xdr:row>
      <xdr:rowOff>873978</xdr:rowOff>
    </xdr:to>
    <xdr:pic>
      <xdr:nvPicPr>
        <xdr:cNvPr id="10" name="图片 7">
          <a:extLst>
            <a:ext uri="{FF2B5EF4-FFF2-40B4-BE49-F238E27FC236}">
              <a16:creationId xmlns:a16="http://schemas.microsoft.com/office/drawing/2014/main" id="{69C45061-EA62-46BF-91BA-CA764B3D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6" y="628650"/>
          <a:ext cx="655544" cy="8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304800</xdr:colOff>
      <xdr:row>1</xdr:row>
      <xdr:rowOff>19051</xdr:rowOff>
    </xdr:from>
    <xdr:to>
      <xdr:col>10</xdr:col>
      <xdr:colOff>931529</xdr:colOff>
      <xdr:row>1</xdr:row>
      <xdr:rowOff>876301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6B4E4B9E-81DD-4910-8234-C58A3725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638176"/>
          <a:ext cx="62672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314326</xdr:colOff>
      <xdr:row>1</xdr:row>
      <xdr:rowOff>19051</xdr:rowOff>
    </xdr:from>
    <xdr:to>
      <xdr:col>9</xdr:col>
      <xdr:colOff>962666</xdr:colOff>
      <xdr:row>1</xdr:row>
      <xdr:rowOff>876301</xdr:rowOff>
    </xdr:to>
    <xdr:pic>
      <xdr:nvPicPr>
        <xdr:cNvPr id="12" name="图片 9">
          <a:extLst>
            <a:ext uri="{FF2B5EF4-FFF2-40B4-BE49-F238E27FC236}">
              <a16:creationId xmlns:a16="http://schemas.microsoft.com/office/drawing/2014/main" id="{A3CBFF76-247C-4896-B69D-59D2FD60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6" y="638176"/>
          <a:ext cx="6483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</xdr:row>
      <xdr:rowOff>0</xdr:rowOff>
    </xdr:from>
    <xdr:to>
      <xdr:col>0</xdr:col>
      <xdr:colOff>503292</xdr:colOff>
      <xdr:row>2</xdr:row>
      <xdr:rowOff>1109382</xdr:rowOff>
    </xdr:to>
    <xdr:sp macro="" textlink="">
      <xdr:nvSpPr>
        <xdr:cNvPr id="2" name="直接连接符 1">
          <a:extLst>
            <a:ext uri="{FF2B5EF4-FFF2-40B4-BE49-F238E27FC236}">
              <a16:creationId xmlns:a16="http://schemas.microsoft.com/office/drawing/2014/main" id="{B5EF9D05-6C8D-4E73-94A7-D3DF03D327A4}"/>
            </a:ext>
          </a:extLst>
        </xdr:cNvPr>
        <xdr:cNvSpPr>
          <a:spLocks noChangeShapeType="1"/>
        </xdr:cNvSpPr>
      </xdr:nvSpPr>
      <xdr:spPr bwMode="auto">
        <a:xfrm>
          <a:off x="257175" y="619125"/>
          <a:ext cx="246117" cy="1109382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266701</xdr:colOff>
      <xdr:row>2</xdr:row>
      <xdr:rowOff>9526</xdr:rowOff>
    </xdr:from>
    <xdr:to>
      <xdr:col>0</xdr:col>
      <xdr:colOff>638953</xdr:colOff>
      <xdr:row>2</xdr:row>
      <xdr:rowOff>153602</xdr:rowOff>
    </xdr:to>
    <xdr:sp macro="" textlink="">
      <xdr:nvSpPr>
        <xdr:cNvPr id="3" name="直接连接符 2">
          <a:extLst>
            <a:ext uri="{FF2B5EF4-FFF2-40B4-BE49-F238E27FC236}">
              <a16:creationId xmlns:a16="http://schemas.microsoft.com/office/drawing/2014/main" id="{CC43FD5E-3236-4125-BF89-9EC259E84CDA}"/>
            </a:ext>
          </a:extLst>
        </xdr:cNvPr>
        <xdr:cNvSpPr>
          <a:spLocks noChangeShapeType="1"/>
        </xdr:cNvSpPr>
      </xdr:nvSpPr>
      <xdr:spPr bwMode="auto">
        <a:xfrm>
          <a:off x="266701" y="628651"/>
          <a:ext cx="372252" cy="144076"/>
        </a:xfrm>
        <a:prstGeom prst="line">
          <a:avLst/>
        </a:prstGeom>
        <a:noFill/>
        <a:ln w="9525">
          <a:solidFill>
            <a:srgbClr val="4A7EBB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276226</xdr:colOff>
      <xdr:row>2</xdr:row>
      <xdr:rowOff>9526</xdr:rowOff>
    </xdr:from>
    <xdr:to>
      <xdr:col>4</xdr:col>
      <xdr:colOff>946177</xdr:colOff>
      <xdr:row>2</xdr:row>
      <xdr:rowOff>866776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0F021ED0-843B-475E-8C8E-831AB1CFF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6" y="628651"/>
          <a:ext cx="669951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304800</xdr:colOff>
      <xdr:row>2</xdr:row>
      <xdr:rowOff>9526</xdr:rowOff>
    </xdr:from>
    <xdr:to>
      <xdr:col>2</xdr:col>
      <xdr:colOff>909918</xdr:colOff>
      <xdr:row>2</xdr:row>
      <xdr:rowOff>881184</xdr:rowOff>
    </xdr:to>
    <xdr:pic>
      <xdr:nvPicPr>
        <xdr:cNvPr id="5" name="图片 2">
          <a:extLst>
            <a:ext uri="{FF2B5EF4-FFF2-40B4-BE49-F238E27FC236}">
              <a16:creationId xmlns:a16="http://schemas.microsoft.com/office/drawing/2014/main" id="{E0D824C6-D238-4A13-A44B-E87351C3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0" y="628651"/>
          <a:ext cx="60511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2</xdr:row>
      <xdr:rowOff>9526</xdr:rowOff>
    </xdr:from>
    <xdr:to>
      <xdr:col>5</xdr:col>
      <xdr:colOff>923845</xdr:colOff>
      <xdr:row>2</xdr:row>
      <xdr:rowOff>881184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4EFF5093-8C58-447B-8AF4-1213D4B9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628651"/>
          <a:ext cx="561895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323850</xdr:colOff>
      <xdr:row>2</xdr:row>
      <xdr:rowOff>9526</xdr:rowOff>
    </xdr:from>
    <xdr:to>
      <xdr:col>3</xdr:col>
      <xdr:colOff>907357</xdr:colOff>
      <xdr:row>2</xdr:row>
      <xdr:rowOff>881184</xdr:rowOff>
    </xdr:to>
    <xdr:pic>
      <xdr:nvPicPr>
        <xdr:cNvPr id="7" name="图片 4">
          <a:extLst>
            <a:ext uri="{FF2B5EF4-FFF2-40B4-BE49-F238E27FC236}">
              <a16:creationId xmlns:a16="http://schemas.microsoft.com/office/drawing/2014/main" id="{6813244C-4AC8-4858-8240-AE06E1D4D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628651"/>
          <a:ext cx="583507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295275</xdr:colOff>
      <xdr:row>2</xdr:row>
      <xdr:rowOff>9526</xdr:rowOff>
    </xdr:from>
    <xdr:to>
      <xdr:col>7</xdr:col>
      <xdr:colOff>958023</xdr:colOff>
      <xdr:row>2</xdr:row>
      <xdr:rowOff>881184</xdr:rowOff>
    </xdr:to>
    <xdr:pic>
      <xdr:nvPicPr>
        <xdr:cNvPr id="8" name="图片 5">
          <a:extLst>
            <a:ext uri="{FF2B5EF4-FFF2-40B4-BE49-F238E27FC236}">
              <a16:creationId xmlns:a16="http://schemas.microsoft.com/office/drawing/2014/main" id="{0AC4B7E6-3798-434B-8EDE-3C497523C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8651"/>
          <a:ext cx="662748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285751</xdr:colOff>
      <xdr:row>2</xdr:row>
      <xdr:rowOff>9526</xdr:rowOff>
    </xdr:from>
    <xdr:to>
      <xdr:col>6</xdr:col>
      <xdr:colOff>955703</xdr:colOff>
      <xdr:row>2</xdr:row>
      <xdr:rowOff>881184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2D1F52EC-80D9-4949-B183-3B8ED67AD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1" y="628651"/>
          <a:ext cx="669952" cy="871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295276</xdr:colOff>
      <xdr:row>2</xdr:row>
      <xdr:rowOff>9525</xdr:rowOff>
    </xdr:from>
    <xdr:to>
      <xdr:col>8</xdr:col>
      <xdr:colOff>950820</xdr:colOff>
      <xdr:row>2</xdr:row>
      <xdr:rowOff>873978</xdr:rowOff>
    </xdr:to>
    <xdr:pic>
      <xdr:nvPicPr>
        <xdr:cNvPr id="10" name="图片 7">
          <a:extLst>
            <a:ext uri="{FF2B5EF4-FFF2-40B4-BE49-F238E27FC236}">
              <a16:creationId xmlns:a16="http://schemas.microsoft.com/office/drawing/2014/main" id="{07536929-4277-48F7-BBB8-B76620FF6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6" y="628650"/>
          <a:ext cx="655544" cy="864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304800</xdr:colOff>
      <xdr:row>2</xdr:row>
      <xdr:rowOff>19051</xdr:rowOff>
    </xdr:from>
    <xdr:to>
      <xdr:col>10</xdr:col>
      <xdr:colOff>931529</xdr:colOff>
      <xdr:row>2</xdr:row>
      <xdr:rowOff>876301</xdr:rowOff>
    </xdr:to>
    <xdr:pic>
      <xdr:nvPicPr>
        <xdr:cNvPr id="11" name="图片 8">
          <a:extLst>
            <a:ext uri="{FF2B5EF4-FFF2-40B4-BE49-F238E27FC236}">
              <a16:creationId xmlns:a16="http://schemas.microsoft.com/office/drawing/2014/main" id="{34459D88-EBA2-4C16-9438-EC3C1C14F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638176"/>
          <a:ext cx="62672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314326</xdr:colOff>
      <xdr:row>2</xdr:row>
      <xdr:rowOff>19051</xdr:rowOff>
    </xdr:from>
    <xdr:to>
      <xdr:col>9</xdr:col>
      <xdr:colOff>962666</xdr:colOff>
      <xdr:row>2</xdr:row>
      <xdr:rowOff>876301</xdr:rowOff>
    </xdr:to>
    <xdr:pic>
      <xdr:nvPicPr>
        <xdr:cNvPr id="12" name="图片 9">
          <a:extLst>
            <a:ext uri="{FF2B5EF4-FFF2-40B4-BE49-F238E27FC236}">
              <a16:creationId xmlns:a16="http://schemas.microsoft.com/office/drawing/2014/main" id="{3BE6A3DC-ABC8-4021-82F9-5DE00FDE6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6" y="638176"/>
          <a:ext cx="6483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147A-0B3C-48E2-81AE-114B6282D075}">
  <dimension ref="A1:K30"/>
  <sheetViews>
    <sheetView tabSelected="1" workbookViewId="0">
      <selection activeCell="F13" sqref="F13"/>
    </sheetView>
  </sheetViews>
  <sheetFormatPr defaultColWidth="14.25" defaultRowHeight="14"/>
  <cols>
    <col min="1" max="1" width="9.58203125" style="1" customWidth="1"/>
    <col min="2" max="2" width="5.58203125" style="1" customWidth="1"/>
    <col min="3" max="16384" width="14.25" style="1"/>
  </cols>
  <sheetData>
    <row r="1" spans="1:11" ht="15.5">
      <c r="A1" s="17" t="s">
        <v>1</v>
      </c>
      <c r="B1" s="18"/>
      <c r="C1" s="2"/>
      <c r="D1" s="2"/>
      <c r="E1" s="3"/>
      <c r="F1" s="3"/>
      <c r="G1" s="4"/>
      <c r="H1" s="5"/>
      <c r="I1" s="6"/>
      <c r="J1" s="6"/>
      <c r="K1" s="6"/>
    </row>
    <row r="2" spans="1:11" customFormat="1" ht="99.75" customHeight="1">
      <c r="A2" s="11" t="s">
        <v>2</v>
      </c>
      <c r="B2" s="12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4" t="s">
        <v>10</v>
      </c>
      <c r="J2" s="13" t="s">
        <v>11</v>
      </c>
      <c r="K2" s="14" t="s">
        <v>12</v>
      </c>
    </row>
    <row r="3" spans="1:11" ht="15.5">
      <c r="A3" s="19" t="s">
        <v>13</v>
      </c>
      <c r="B3" s="20"/>
      <c r="C3" s="7">
        <f>采购价!C4*2.5</f>
        <v>1.4625000000000001</v>
      </c>
      <c r="D3" s="7">
        <f>采购价!D4*2.5</f>
        <v>1.9110000000000003</v>
      </c>
      <c r="E3" s="7">
        <f>采购价!E4*2.5</f>
        <v>2.3770500000000001</v>
      </c>
      <c r="F3" s="7">
        <f>采购价!F4*2.5</f>
        <v>2.2392500000000002</v>
      </c>
      <c r="G3" s="7">
        <f>采购价!G4*2.5</f>
        <v>4.6068750000000005</v>
      </c>
      <c r="H3" s="7">
        <f>采购价!H4*2.5</f>
        <v>2.5252499999999998</v>
      </c>
      <c r="I3" s="7">
        <f>采购价!I4*2.5</f>
        <v>3.07125</v>
      </c>
      <c r="J3" s="7">
        <f>采购价!J4*2.5</f>
        <v>3.5750000000000002</v>
      </c>
      <c r="K3" s="7">
        <f>采购价!K4*2.5</f>
        <v>5.5900000000000007</v>
      </c>
    </row>
    <row r="4" spans="1:11" ht="15.5">
      <c r="A4" s="21" t="s">
        <v>14</v>
      </c>
      <c r="B4" s="16"/>
      <c r="C4" s="7">
        <f>采购价!C5*2.5</f>
        <v>1.56</v>
      </c>
      <c r="D4" s="7">
        <f>采购价!D5*2.5</f>
        <v>1.9110000000000003</v>
      </c>
      <c r="E4" s="7">
        <f>采购价!E5*2.5</f>
        <v>2.3770500000000001</v>
      </c>
      <c r="F4" s="7">
        <f>采购价!F5*2.5</f>
        <v>2.2392500000000002</v>
      </c>
      <c r="G4" s="7">
        <f>采购价!G5*2.5</f>
        <v>5.9474999999999998</v>
      </c>
      <c r="H4" s="7">
        <f>采购价!H5*2.5</f>
        <v>2.5252499999999998</v>
      </c>
      <c r="I4" s="7">
        <f>采购价!I5*2.5</f>
        <v>4.7450000000000001</v>
      </c>
      <c r="J4" s="7">
        <f>采购价!J5*2.5</f>
        <v>3.5750000000000002</v>
      </c>
      <c r="K4" s="7">
        <f>采购价!K5*2.5</f>
        <v>5.5900000000000007</v>
      </c>
    </row>
    <row r="5" spans="1:11" ht="15.5">
      <c r="A5" s="15" t="s">
        <v>15</v>
      </c>
      <c r="B5" s="16"/>
      <c r="C5" s="7">
        <f>采购价!C6*2.5</f>
        <v>2.5252499999999998</v>
      </c>
      <c r="D5" s="7">
        <f>采购价!D6*2.5</f>
        <v>2.7625000000000002</v>
      </c>
      <c r="E5" s="7">
        <f>采购价!E6*2.5</f>
        <v>3.8239500000000004</v>
      </c>
      <c r="F5" s="7">
        <f>采购价!F6*2.5</f>
        <v>2.8938000000000001</v>
      </c>
      <c r="G5" s="7">
        <f>采购价!G6*2.5</f>
        <v>9.0024999999999995</v>
      </c>
      <c r="H5" s="7">
        <f>采购价!H6*2.5</f>
        <v>3.2418750000000003</v>
      </c>
      <c r="I5" s="7">
        <f>采购价!I6*2.5</f>
        <v>7.6375000000000002</v>
      </c>
      <c r="J5" s="7">
        <f>采购价!J6*2.5</f>
        <v>4.9075000000000006</v>
      </c>
      <c r="K5" s="7">
        <f>采购价!K6*2.5</f>
        <v>6.5</v>
      </c>
    </row>
    <row r="6" spans="1:11" ht="15.5">
      <c r="A6" s="16" t="s">
        <v>16</v>
      </c>
      <c r="B6" s="16"/>
      <c r="C6" s="7" t="e">
        <f>采购价!C7*2.5</f>
        <v>#VALUE!</v>
      </c>
      <c r="D6" s="7" t="e">
        <f>采购价!D7*2.5</f>
        <v>#VALUE!</v>
      </c>
      <c r="E6" s="7">
        <f>采购价!E7*2.5</f>
        <v>0</v>
      </c>
      <c r="F6" s="7">
        <f>采购价!F7*2.5</f>
        <v>0</v>
      </c>
      <c r="G6" s="7" t="e">
        <f>采购价!G7*2.5</f>
        <v>#VALUE!</v>
      </c>
      <c r="H6" s="7">
        <f>采购价!H7*2.5</f>
        <v>4.4362500000000011</v>
      </c>
      <c r="I6" s="7" t="e">
        <f>采购价!I7*2.5</f>
        <v>#VALUE!</v>
      </c>
      <c r="J6" s="7">
        <f>采购价!J7*2.5</f>
        <v>6.6624999999999996</v>
      </c>
      <c r="K6" s="7" t="e">
        <f>采购价!K7*2.5</f>
        <v>#VALUE!</v>
      </c>
    </row>
    <row r="7" spans="1:11" ht="15.5">
      <c r="A7" s="15" t="s">
        <v>18</v>
      </c>
      <c r="B7" s="16"/>
      <c r="C7" s="7">
        <f>采购价!C8*2.5</f>
        <v>1.9451249999999998</v>
      </c>
      <c r="D7" s="7">
        <f>采购价!D8*2.5</f>
        <v>2.3725000000000001</v>
      </c>
      <c r="E7" s="7">
        <f>采购价!E8*2.5</f>
        <v>2.5492999999999997</v>
      </c>
      <c r="F7" s="7">
        <f>采购价!F8*2.5</f>
        <v>2.2392500000000002</v>
      </c>
      <c r="G7" s="7">
        <f>采购价!G8*2.5</f>
        <v>4.6068750000000005</v>
      </c>
      <c r="H7" s="7">
        <f>采购价!H8*2.5</f>
        <v>3.07125</v>
      </c>
      <c r="I7" s="7">
        <f>采购价!I8*2.5</f>
        <v>3.07125</v>
      </c>
      <c r="J7" s="7">
        <f>采购价!J8*2.5</f>
        <v>3.9000000000000004</v>
      </c>
      <c r="K7" s="7">
        <f>采购价!K8*2.5</f>
        <v>5.5900000000000007</v>
      </c>
    </row>
    <row r="8" spans="1:11" ht="15.5">
      <c r="A8" s="15" t="s">
        <v>19</v>
      </c>
      <c r="B8" s="16"/>
      <c r="C8" s="7">
        <f>采购价!C9*2.5</f>
        <v>1.7403750000000004</v>
      </c>
      <c r="D8" s="7">
        <f>采购价!D9*2.5</f>
        <v>2.4569999999999999</v>
      </c>
      <c r="E8" s="7">
        <f>采购价!E9*2.5</f>
        <v>2.3770500000000001</v>
      </c>
      <c r="F8" s="7">
        <f>采购价!F9*2.5</f>
        <v>2.2392500000000002</v>
      </c>
      <c r="G8" s="7">
        <f>采购价!G9*2.5</f>
        <v>5.9474999999999998</v>
      </c>
      <c r="H8" s="7">
        <f>采购价!H9*2.5</f>
        <v>3.07125</v>
      </c>
      <c r="I8" s="7">
        <f>采购价!I9*2.5</f>
        <v>4.7450000000000001</v>
      </c>
      <c r="J8" s="7">
        <f>采购价!J9*2.5</f>
        <v>3.9975000000000001</v>
      </c>
      <c r="K8" s="7">
        <f>采购价!K9*2.5</f>
        <v>5.5900000000000007</v>
      </c>
    </row>
    <row r="9" spans="1:11" ht="15.5">
      <c r="A9" s="15" t="s">
        <v>20</v>
      </c>
      <c r="B9" s="16"/>
      <c r="C9" s="7">
        <f>采购价!C10*2.5</f>
        <v>2.2424999999999997</v>
      </c>
      <c r="D9" s="7">
        <f>采购价!D10*2.5</f>
        <v>2.8925000000000001</v>
      </c>
      <c r="E9" s="7">
        <f>采购价!E10*2.5</f>
        <v>4.2029000000000005</v>
      </c>
      <c r="F9" s="7">
        <f>采购价!F10*2.5</f>
        <v>2.6526500000000004</v>
      </c>
      <c r="G9" s="7">
        <f>采购价!G10*2.5</f>
        <v>9.0024999999999995</v>
      </c>
      <c r="H9" s="7">
        <f>采购价!H10*2.5</f>
        <v>3.5750000000000002</v>
      </c>
      <c r="I9" s="7">
        <f>采购价!I10*2.5</f>
        <v>7.6375000000000002</v>
      </c>
      <c r="J9" s="7">
        <f>采购价!J10*2.5</f>
        <v>5.2</v>
      </c>
      <c r="K9" s="7">
        <f>采购价!K10*2.5</f>
        <v>6.37</v>
      </c>
    </row>
    <row r="10" spans="1:11" ht="15.5">
      <c r="A10" s="15" t="s">
        <v>21</v>
      </c>
      <c r="B10" s="16"/>
      <c r="C10" s="7">
        <f>采购价!C11*2.5</f>
        <v>3.8024999999999998</v>
      </c>
      <c r="D10" s="7">
        <f>采购价!D11*2.5</f>
        <v>3.6400000000000006</v>
      </c>
      <c r="E10" s="7">
        <f>采购价!E11*2.5</f>
        <v>4.7541000000000002</v>
      </c>
      <c r="F10" s="7">
        <f>采购价!F11*2.5</f>
        <v>4.4785000000000004</v>
      </c>
      <c r="G10" s="7">
        <f>采购价!G11*2.5</f>
        <v>15.275</v>
      </c>
      <c r="H10" s="7">
        <f>采购价!H11*2.5</f>
        <v>4.7450000000000001</v>
      </c>
      <c r="I10" s="7">
        <f>采购价!I11*2.5</f>
        <v>13.032500000000001</v>
      </c>
      <c r="J10" s="7">
        <f>采购价!J11*2.5</f>
        <v>6.8250000000000011</v>
      </c>
      <c r="K10" s="7">
        <f>采购价!K11*2.5</f>
        <v>8.5150000000000006</v>
      </c>
    </row>
    <row r="11" spans="1:11" ht="15.5">
      <c r="A11" s="15" t="s">
        <v>22</v>
      </c>
      <c r="B11" s="16"/>
      <c r="C11" s="7">
        <f>采购价!C12*2.5</f>
        <v>6.955000000000001</v>
      </c>
      <c r="D11" s="7">
        <f>采购价!D12*2.5</f>
        <v>5.4924999999999997</v>
      </c>
      <c r="E11" s="7">
        <f>采购价!E12*2.5</f>
        <v>8.0268500000000014</v>
      </c>
      <c r="F11" s="7">
        <f>采购价!F12*2.5</f>
        <v>8.1990999999999996</v>
      </c>
      <c r="G11" s="7">
        <f>采购价!G12*2.5</f>
        <v>19.922499999999999</v>
      </c>
      <c r="H11" s="7">
        <f>采购价!H12*2.5</f>
        <v>6.5650000000000013</v>
      </c>
      <c r="I11" s="7">
        <f>采购价!I12*2.5</f>
        <v>16.965</v>
      </c>
      <c r="J11" s="7">
        <f>采购价!J12*2.5</f>
        <v>10.075000000000001</v>
      </c>
      <c r="K11" s="7">
        <f>采购价!K12*2.5</f>
        <v>14.105</v>
      </c>
    </row>
    <row r="12" spans="1:11" ht="15.5">
      <c r="A12" s="15" t="s">
        <v>23</v>
      </c>
      <c r="B12" s="16"/>
      <c r="C12" s="7">
        <f>采购价!C13*2.5</f>
        <v>2.08</v>
      </c>
      <c r="D12" s="7">
        <f>采购价!D13*2.5</f>
        <v>3.0225</v>
      </c>
      <c r="E12" s="7">
        <f>采购价!E13*2.5</f>
        <v>3.0316000000000005</v>
      </c>
      <c r="F12" s="7">
        <f>采购价!F13*2.5</f>
        <v>2.4115000000000002</v>
      </c>
      <c r="G12" s="7">
        <f>采购价!G13*2.5</f>
        <v>6.1425000000000001</v>
      </c>
      <c r="H12" s="7">
        <f>采购价!H13*2.5</f>
        <v>4.03</v>
      </c>
      <c r="I12" s="7">
        <f>采购价!I13*2.5</f>
        <v>4.9725000000000001</v>
      </c>
      <c r="J12" s="7">
        <f>采购价!J13*2.5</f>
        <v>5.2650000000000006</v>
      </c>
      <c r="K12" s="7">
        <f>采购价!K13*2.5</f>
        <v>6.0449999999999999</v>
      </c>
    </row>
    <row r="13" spans="1:11" ht="15.5">
      <c r="A13" s="15" t="s">
        <v>24</v>
      </c>
      <c r="B13" s="16"/>
      <c r="C13" s="7">
        <f>采购价!C14*2.5</f>
        <v>2.0475000000000003</v>
      </c>
      <c r="D13" s="7">
        <f>采购价!D14*2.5</f>
        <v>3.0225</v>
      </c>
      <c r="E13" s="7">
        <f>采购价!E14*2.5</f>
        <v>3.8239500000000004</v>
      </c>
      <c r="F13" s="7">
        <f>采购价!F14*2.5</f>
        <v>2.4115000000000002</v>
      </c>
      <c r="G13" s="7">
        <f>采购价!G14*2.5</f>
        <v>9.0024999999999995</v>
      </c>
      <c r="H13" s="7">
        <f>采购价!H14*2.5</f>
        <v>4.03</v>
      </c>
      <c r="I13" s="7">
        <f>采购价!I14*2.5</f>
        <v>7.7675000000000001</v>
      </c>
      <c r="J13" s="7">
        <f>采购价!J14*2.5</f>
        <v>5.5900000000000007</v>
      </c>
      <c r="K13" s="7">
        <f>采购价!K14*2.5</f>
        <v>6.0449999999999999</v>
      </c>
    </row>
    <row r="14" spans="1:11" ht="15.5">
      <c r="A14" s="15" t="s">
        <v>25</v>
      </c>
      <c r="B14" s="16"/>
      <c r="C14" s="7">
        <f>采购价!C15*2.5</f>
        <v>3.4775000000000005</v>
      </c>
      <c r="D14" s="7">
        <f>采购价!D15*2.5</f>
        <v>3.8024999999999998</v>
      </c>
      <c r="E14" s="7">
        <f>采购价!E15*2.5</f>
        <v>4.7541000000000002</v>
      </c>
      <c r="F14" s="7">
        <f>采购价!F15*2.5</f>
        <v>4.4785000000000004</v>
      </c>
      <c r="G14" s="7">
        <f>采购价!G15*2.5</f>
        <v>15.275</v>
      </c>
      <c r="H14" s="7">
        <f>采购价!H15*2.5</f>
        <v>5.1025000000000009</v>
      </c>
      <c r="I14" s="7">
        <f>采购价!I15*2.5</f>
        <v>13.032500000000001</v>
      </c>
      <c r="J14" s="7">
        <f>采购价!J15*2.5</f>
        <v>7.1174999999999997</v>
      </c>
      <c r="K14" s="7">
        <f>采购价!K15*2.5</f>
        <v>9.0024999999999995</v>
      </c>
    </row>
    <row r="15" spans="1:11" ht="15.5">
      <c r="A15" s="15" t="s">
        <v>26</v>
      </c>
      <c r="B15" s="16"/>
      <c r="C15" s="7">
        <f>采购价!C16*2.5</f>
        <v>6.4024999999999999</v>
      </c>
      <c r="D15" s="7">
        <f>采购价!D16*2.5</f>
        <v>5.2325000000000008</v>
      </c>
      <c r="E15" s="7">
        <f>采购价!E16*2.5</f>
        <v>7.6823499999999996</v>
      </c>
      <c r="F15" s="7">
        <f>采购价!F16*2.5</f>
        <v>7.4412000000000003</v>
      </c>
      <c r="G15" s="7">
        <f>采购价!G16*2.5</f>
        <v>19.922499999999999</v>
      </c>
      <c r="H15" s="7">
        <f>采购价!H16*2.5</f>
        <v>6.2075000000000005</v>
      </c>
      <c r="I15" s="7">
        <f>采购价!I16*2.5</f>
        <v>17.355</v>
      </c>
      <c r="J15" s="7">
        <f>采购价!J16*2.5</f>
        <v>10.075000000000001</v>
      </c>
      <c r="K15" s="7">
        <f>采购价!K16*2.5</f>
        <v>13.8125</v>
      </c>
    </row>
    <row r="16" spans="1:11" ht="15.5">
      <c r="A16" s="15" t="s">
        <v>27</v>
      </c>
      <c r="B16" s="16"/>
      <c r="C16" s="7">
        <f>采购价!C17*2.5</f>
        <v>3.2174999999999998</v>
      </c>
      <c r="D16" s="7">
        <f>采购价!D17*2.5</f>
        <v>3.835</v>
      </c>
      <c r="E16" s="7">
        <f>采购价!E17*2.5</f>
        <v>4.9952500000000004</v>
      </c>
      <c r="F16" s="7">
        <f>采购价!F17*2.5</f>
        <v>3.9962000000000004</v>
      </c>
      <c r="G16" s="7">
        <f>采购价!G17*2.5</f>
        <v>6.4349999999999996</v>
      </c>
      <c r="H16" s="7">
        <f>采购价!H17*2.5</f>
        <v>4.9400000000000004</v>
      </c>
      <c r="I16" s="7">
        <f>采购价!I17*2.5</f>
        <v>4.9725000000000001</v>
      </c>
      <c r="J16" s="7">
        <f>采购价!J17*2.5</f>
        <v>8.125</v>
      </c>
      <c r="K16" s="7">
        <f>采购价!K17*2.5</f>
        <v>9.7824999999999989</v>
      </c>
    </row>
    <row r="17" spans="1:11" ht="15.5">
      <c r="A17" s="15" t="s">
        <v>28</v>
      </c>
      <c r="B17" s="16"/>
      <c r="C17" s="7">
        <f>采购价!C18*2.5</f>
        <v>3.0225</v>
      </c>
      <c r="D17" s="7">
        <f>采购价!D18*2.5</f>
        <v>3.9325000000000001</v>
      </c>
      <c r="E17" s="7">
        <f>采购价!E18*2.5</f>
        <v>4.7541000000000002</v>
      </c>
      <c r="F17" s="7">
        <f>采购价!F18*2.5</f>
        <v>4.3751500000000005</v>
      </c>
      <c r="G17" s="7">
        <f>采购价!G18*2.5</f>
        <v>9.1325000000000003</v>
      </c>
      <c r="H17" s="7">
        <f>采购价!H18*2.5</f>
        <v>5.6550000000000002</v>
      </c>
      <c r="I17" s="7">
        <f>采购价!I18*2.5</f>
        <v>8.0274999999999999</v>
      </c>
      <c r="J17" s="7">
        <f>采购价!J18*2.5</f>
        <v>8.5150000000000006</v>
      </c>
      <c r="K17" s="7">
        <f>采购价!K18*2.5</f>
        <v>9.7824999999999989</v>
      </c>
    </row>
    <row r="18" spans="1:11" ht="15.5">
      <c r="A18" s="15" t="s">
        <v>29</v>
      </c>
      <c r="B18" s="16"/>
      <c r="C18" s="7">
        <f>采购价!C19*2.5</f>
        <v>3.4450000000000003</v>
      </c>
      <c r="D18" s="7">
        <f>采购价!D19*2.5</f>
        <v>4.3874999999999993</v>
      </c>
      <c r="E18" s="7">
        <f>采购价!E19*2.5</f>
        <v>5.4775500000000008</v>
      </c>
      <c r="F18" s="7">
        <f>采购价!F19*2.5</f>
        <v>4.6507500000000013</v>
      </c>
      <c r="G18" s="7">
        <f>采购价!G19*2.5</f>
        <v>15.4375</v>
      </c>
      <c r="H18" s="7">
        <f>采购价!H19*2.5</f>
        <v>5.6550000000000002</v>
      </c>
      <c r="I18" s="7">
        <f>采购价!I19*2.5</f>
        <v>13.260000000000002</v>
      </c>
      <c r="J18" s="7">
        <f>采购价!J19*2.5</f>
        <v>8.2225000000000001</v>
      </c>
      <c r="K18" s="7">
        <f>采购价!K19*2.5</f>
        <v>9.9124999999999996</v>
      </c>
    </row>
    <row r="19" spans="1:11" ht="15.5">
      <c r="A19" s="15" t="s">
        <v>30</v>
      </c>
      <c r="B19" s="16"/>
      <c r="C19" s="7">
        <f>采购价!C20*2.5</f>
        <v>5.6550000000000002</v>
      </c>
      <c r="D19" s="7">
        <f>采购价!D20*2.5</f>
        <v>5.4924999999999997</v>
      </c>
      <c r="E19" s="7">
        <f>采购价!E20*2.5</f>
        <v>8.0268500000000014</v>
      </c>
      <c r="F19" s="7">
        <f>采购价!F20*2.5</f>
        <v>7.6823499999999996</v>
      </c>
      <c r="G19" s="7">
        <f>采购价!G20*2.5</f>
        <v>20.28</v>
      </c>
      <c r="H19" s="7">
        <f>采购价!H20*2.5</f>
        <v>6.9225000000000003</v>
      </c>
      <c r="I19" s="7">
        <f>采购价!I20*2.5</f>
        <v>17.355</v>
      </c>
      <c r="J19" s="7">
        <f>采购价!J20*2.5</f>
        <v>10.952500000000001</v>
      </c>
      <c r="K19" s="7">
        <f>采购价!K20*2.5</f>
        <v>13.032500000000001</v>
      </c>
    </row>
    <row r="20" spans="1:11" ht="15.5">
      <c r="A20" s="15" t="s">
        <v>31</v>
      </c>
      <c r="B20" s="16"/>
      <c r="C20" s="7">
        <f>采购价!C21*2.5</f>
        <v>4.1924999999999999</v>
      </c>
      <c r="D20" s="7">
        <f>采购价!D21*2.5</f>
        <v>4.9400000000000004</v>
      </c>
      <c r="E20" s="7">
        <f>采购价!E21*2.5</f>
        <v>6.9244500000000002</v>
      </c>
      <c r="F20" s="7">
        <f>采购价!F21*2.5</f>
        <v>6.4077000000000002</v>
      </c>
      <c r="G20" s="7">
        <f>采购价!G21*2.5</f>
        <v>6.4349999999999996</v>
      </c>
      <c r="H20" s="7">
        <f>采购价!H21*2.5</f>
        <v>6.0449999999999999</v>
      </c>
      <c r="I20" s="7">
        <f>采购价!I21*2.5</f>
        <v>5.1675000000000004</v>
      </c>
      <c r="J20" s="7">
        <f>采购价!J21*2.5</f>
        <v>11.57</v>
      </c>
      <c r="K20" s="7">
        <f>采购价!K21*2.5</f>
        <v>13.032500000000001</v>
      </c>
    </row>
    <row r="21" spans="1:11" ht="15.5">
      <c r="A21" s="15" t="s">
        <v>32</v>
      </c>
      <c r="B21" s="16"/>
      <c r="C21" s="7">
        <f>采购价!C22*2.5</f>
        <v>4.3874999999999993</v>
      </c>
      <c r="D21" s="7">
        <f>采购价!D22*2.5</f>
        <v>4.9400000000000004</v>
      </c>
      <c r="E21" s="7">
        <f>采购价!E22*2.5</f>
        <v>6.9244500000000002</v>
      </c>
      <c r="F21" s="7">
        <f>采购价!F22*2.5</f>
        <v>6.4077000000000002</v>
      </c>
      <c r="G21" s="7">
        <f>采购价!G22*2.5</f>
        <v>9.1</v>
      </c>
      <c r="H21" s="7">
        <f>采购价!H22*2.5</f>
        <v>6.0449999999999999</v>
      </c>
      <c r="I21" s="7">
        <f>采购价!I22*2.5</f>
        <v>8.0274999999999999</v>
      </c>
      <c r="J21" s="7">
        <f>采购价!J22*2.5</f>
        <v>12.219999999999999</v>
      </c>
      <c r="K21" s="7">
        <f>采购价!K22*2.5</f>
        <v>13.032500000000001</v>
      </c>
    </row>
    <row r="22" spans="1:11" ht="15.5">
      <c r="A22" s="15" t="s">
        <v>33</v>
      </c>
      <c r="B22" s="16"/>
      <c r="C22" s="7">
        <f>采购价!C23*2.5</f>
        <v>4.5824999999999996</v>
      </c>
      <c r="D22" s="7">
        <f>采购价!D23*2.5</f>
        <v>4.9400000000000004</v>
      </c>
      <c r="E22" s="7">
        <f>采购价!E23*2.5</f>
        <v>6.9244500000000002</v>
      </c>
      <c r="F22" s="7">
        <f>采购价!F23*2.5</f>
        <v>6.5110500000000009</v>
      </c>
      <c r="G22" s="7">
        <f>采购价!G23*2.5</f>
        <v>15.4375</v>
      </c>
      <c r="H22" s="7">
        <f>采购价!H23*2.5</f>
        <v>6.5650000000000013</v>
      </c>
      <c r="I22" s="7">
        <f>采购价!I23*2.5</f>
        <v>13.227500000000001</v>
      </c>
      <c r="J22" s="7">
        <f>采购价!J23*2.5</f>
        <v>12.219999999999999</v>
      </c>
      <c r="K22" s="7">
        <f>采购价!K23*2.5</f>
        <v>13.487499999999999</v>
      </c>
    </row>
    <row r="23" spans="1:11" ht="15.5">
      <c r="A23" s="15" t="s">
        <v>34</v>
      </c>
      <c r="B23" s="16"/>
      <c r="C23" s="7">
        <f>采购价!C24*2.5</f>
        <v>5.2974999999999994</v>
      </c>
      <c r="D23" s="7">
        <f>采购价!D24*2.5</f>
        <v>5.8500000000000005</v>
      </c>
      <c r="E23" s="7">
        <f>采购价!E24*2.5</f>
        <v>8.0268500000000014</v>
      </c>
      <c r="F23" s="7">
        <f>采购价!F24*2.5</f>
        <v>8.1990999999999996</v>
      </c>
      <c r="G23" s="7">
        <f>采购价!G24*2.5</f>
        <v>20.474999999999998</v>
      </c>
      <c r="H23" s="7">
        <f>采购价!H24*2.5</f>
        <v>6.9225000000000003</v>
      </c>
      <c r="I23" s="7">
        <f>采购价!I24*2.5</f>
        <v>17.355</v>
      </c>
      <c r="J23" s="7">
        <f>采购价!J24*2.5</f>
        <v>12.219999999999999</v>
      </c>
      <c r="K23" s="7">
        <f>采购价!K24*2.5</f>
        <v>16.900000000000002</v>
      </c>
    </row>
    <row r="24" spans="1:11" ht="15.5">
      <c r="A24" s="15" t="s">
        <v>35</v>
      </c>
      <c r="B24" s="16"/>
      <c r="C24" s="7">
        <f>采购价!C25*2.5</f>
        <v>7.67</v>
      </c>
      <c r="D24" s="7">
        <f>采购价!D25*2.5</f>
        <v>8.4175000000000004</v>
      </c>
      <c r="E24" s="7" t="e">
        <f>采购价!E25*2.5</f>
        <v>#VALUE!</v>
      </c>
      <c r="F24" s="7" t="e">
        <f>采购价!F25*2.5</f>
        <v>#VALUE!</v>
      </c>
      <c r="G24" s="7" t="e">
        <f>采购价!G25*2.5</f>
        <v>#VALUE!</v>
      </c>
      <c r="H24" s="7">
        <f>采购价!H25*2.5</f>
        <v>13.357500000000002</v>
      </c>
      <c r="I24" s="7" t="e">
        <f>采购价!I25*2.5</f>
        <v>#VALUE!</v>
      </c>
      <c r="J24" s="7" t="e">
        <f>采购价!J25*2.5</f>
        <v>#VALUE!</v>
      </c>
      <c r="K24" s="7" t="e">
        <f>采购价!K25*2.5</f>
        <v>#VALUE!</v>
      </c>
    </row>
    <row r="25" spans="1:11" ht="15.5">
      <c r="A25" s="15" t="s">
        <v>36</v>
      </c>
      <c r="B25" s="16"/>
      <c r="C25" s="7">
        <f>采购价!C26*2.5</f>
        <v>7.67</v>
      </c>
      <c r="D25" s="7">
        <f>采购价!D26*2.5</f>
        <v>8.4175000000000004</v>
      </c>
      <c r="E25" s="7" t="e">
        <f>采购价!E26*2.5</f>
        <v>#VALUE!</v>
      </c>
      <c r="F25" s="7" t="e">
        <f>采购价!F26*2.5</f>
        <v>#VALUE!</v>
      </c>
      <c r="G25" s="7" t="e">
        <f>采购价!G26*2.5</f>
        <v>#VALUE!</v>
      </c>
      <c r="H25" s="7">
        <f>采购价!H26*2.5</f>
        <v>13.357500000000002</v>
      </c>
      <c r="I25" s="7" t="e">
        <f>采购价!I26*2.5</f>
        <v>#VALUE!</v>
      </c>
      <c r="J25" s="7" t="e">
        <f>采购价!J26*2.5</f>
        <v>#VALUE!</v>
      </c>
      <c r="K25" s="7" t="e">
        <f>采购价!K26*2.5</f>
        <v>#VALUE!</v>
      </c>
    </row>
    <row r="26" spans="1:11" ht="15.5">
      <c r="A26" s="15" t="s">
        <v>37</v>
      </c>
      <c r="B26" s="16"/>
      <c r="C26" s="7">
        <f>采购价!C27*2.5</f>
        <v>7.67</v>
      </c>
      <c r="D26" s="7">
        <f>采购价!D27*2.5</f>
        <v>8.7424999999999997</v>
      </c>
      <c r="E26" s="7" t="e">
        <f>采购价!E27*2.5</f>
        <v>#VALUE!</v>
      </c>
      <c r="F26" s="7" t="e">
        <f>采购价!F27*2.5</f>
        <v>#VALUE!</v>
      </c>
      <c r="G26" s="7" t="e">
        <f>采购价!G27*2.5</f>
        <v>#VALUE!</v>
      </c>
      <c r="H26" s="7">
        <f>采购价!H27*2.5</f>
        <v>12.057500000000001</v>
      </c>
      <c r="I26" s="7" t="e">
        <f>采购价!I27*2.5</f>
        <v>#VALUE!</v>
      </c>
      <c r="J26" s="7" t="e">
        <f>采购价!J27*2.5</f>
        <v>#VALUE!</v>
      </c>
      <c r="K26" s="7" t="e">
        <f>采购价!K27*2.5</f>
        <v>#VALUE!</v>
      </c>
    </row>
    <row r="27" spans="1:11" ht="15.5">
      <c r="A27" s="15" t="s">
        <v>38</v>
      </c>
      <c r="B27" s="16"/>
      <c r="C27" s="7">
        <f>采购价!C28*2.5</f>
        <v>7.67</v>
      </c>
      <c r="D27" s="7">
        <f>采购价!D28*2.5</f>
        <v>9.1325000000000003</v>
      </c>
      <c r="E27" s="7">
        <f>采购价!E28*2.5</f>
        <v>12.780950000000002</v>
      </c>
      <c r="F27" s="7" t="e">
        <f>采购价!F28*2.5</f>
        <v>#VALUE!</v>
      </c>
      <c r="G27" s="7" t="e">
        <f>采购价!G28*2.5</f>
        <v>#VALUE!</v>
      </c>
      <c r="H27" s="7">
        <f>采购价!H28*2.5</f>
        <v>12.057500000000001</v>
      </c>
      <c r="I27" s="7" t="e">
        <f>采购价!I28*2.5</f>
        <v>#VALUE!</v>
      </c>
      <c r="J27" s="7" t="e">
        <f>采购价!J28*2.5</f>
        <v>#VALUE!</v>
      </c>
      <c r="K27" s="7" t="e">
        <f>采购价!K28*2.5</f>
        <v>#VALUE!</v>
      </c>
    </row>
    <row r="28" spans="1:11" ht="15.5">
      <c r="A28" s="15" t="s">
        <v>39</v>
      </c>
      <c r="B28" s="16"/>
      <c r="C28" s="7">
        <f>采购价!C29*2.5</f>
        <v>7.67</v>
      </c>
      <c r="D28" s="7">
        <f>采购价!D29*2.5</f>
        <v>9.1325000000000003</v>
      </c>
      <c r="E28" s="7">
        <f>采购价!E29*2.5</f>
        <v>12.780950000000002</v>
      </c>
      <c r="F28" s="7" t="e">
        <f>采购价!F29*2.5</f>
        <v>#VALUE!</v>
      </c>
      <c r="G28" s="7" t="e">
        <f>采购价!G29*2.5</f>
        <v>#VALUE!</v>
      </c>
      <c r="H28" s="7">
        <f>采购价!H29*2.5</f>
        <v>12.057500000000001</v>
      </c>
      <c r="I28" s="7" t="e">
        <f>采购价!I29*2.5</f>
        <v>#VALUE!</v>
      </c>
      <c r="J28" s="7" t="e">
        <f>采购价!J29*2.5</f>
        <v>#VALUE!</v>
      </c>
      <c r="K28" s="7" t="e">
        <f>采购价!K29*2.5</f>
        <v>#VALUE!</v>
      </c>
    </row>
    <row r="29" spans="1:11" ht="15.5">
      <c r="A29" s="15" t="s">
        <v>40</v>
      </c>
      <c r="B29" s="16"/>
      <c r="C29" s="7">
        <f>采购价!C30*2.5</f>
        <v>7.67</v>
      </c>
      <c r="D29" s="7">
        <f>采购价!D30*2.5</f>
        <v>9.1325000000000003</v>
      </c>
      <c r="E29" s="7">
        <f>采购价!E30*2.5</f>
        <v>12.780950000000002</v>
      </c>
      <c r="F29" s="7" t="e">
        <f>采购价!F30*2.5</f>
        <v>#VALUE!</v>
      </c>
      <c r="G29" s="7">
        <f>采购价!G30*2.5</f>
        <v>24.18</v>
      </c>
      <c r="H29" s="7">
        <f>采购价!H30*2.5</f>
        <v>12.057500000000001</v>
      </c>
      <c r="I29" s="7" t="e">
        <f>采购价!I30*2.5</f>
        <v>#VALUE!</v>
      </c>
      <c r="J29" s="7" t="e">
        <f>采购价!J30*2.5</f>
        <v>#VALUE!</v>
      </c>
      <c r="K29" s="7" t="e">
        <f>采购价!K30*2.5</f>
        <v>#VALUE!</v>
      </c>
    </row>
    <row r="30" spans="1:11" ht="15.5">
      <c r="A30" s="15" t="s">
        <v>41</v>
      </c>
      <c r="B30" s="16"/>
      <c r="C30" s="7">
        <f>采购价!C31*2.5</f>
        <v>10.335000000000001</v>
      </c>
      <c r="D30" s="7">
        <f>采购价!D31*2.5</f>
        <v>13.780000000000001</v>
      </c>
      <c r="E30" s="7" t="e">
        <f>采购价!E31*2.5</f>
        <v>#VALUE!</v>
      </c>
      <c r="F30" s="7" t="e">
        <f>采购价!F31*2.5</f>
        <v>#VALUE!</v>
      </c>
      <c r="G30" s="7" t="e">
        <f>采购价!G31*2.5</f>
        <v>#VALUE!</v>
      </c>
      <c r="H30" s="7">
        <f>采购价!H31*2.5</f>
        <v>16.64</v>
      </c>
      <c r="I30" s="7" t="e">
        <f>采购价!I31*2.5</f>
        <v>#VALUE!</v>
      </c>
      <c r="J30" s="7" t="e">
        <f>采购价!J31*2.5</f>
        <v>#VALUE!</v>
      </c>
      <c r="K30" s="7" t="e">
        <f>采购价!K31*2.5</f>
        <v>#VALUE!</v>
      </c>
    </row>
  </sheetData>
  <mergeCells count="29">
    <mergeCell ref="A1:B1"/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3DC6-6527-437A-990E-FF50A030C79A}">
  <dimension ref="A1:K30"/>
  <sheetViews>
    <sheetView workbookViewId="0">
      <selection activeCell="C4" sqref="C4"/>
    </sheetView>
  </sheetViews>
  <sheetFormatPr defaultColWidth="14.25" defaultRowHeight="14"/>
  <cols>
    <col min="1" max="1" width="9.58203125" style="1" customWidth="1"/>
    <col min="2" max="2" width="5.58203125" style="1" customWidth="1"/>
    <col min="3" max="16384" width="14.25" style="1"/>
  </cols>
  <sheetData>
    <row r="1" spans="1:11" ht="15.5">
      <c r="A1" s="17" t="s">
        <v>1</v>
      </c>
      <c r="B1" s="18"/>
      <c r="C1" s="2"/>
      <c r="D1" s="2"/>
      <c r="E1" s="3"/>
      <c r="F1" s="3"/>
      <c r="G1" s="4"/>
      <c r="H1" s="5"/>
      <c r="I1" s="6"/>
      <c r="J1" s="6"/>
      <c r="K1" s="6"/>
    </row>
    <row r="2" spans="1:11" customFormat="1" ht="99.75" customHeight="1">
      <c r="A2" s="11" t="s">
        <v>2</v>
      </c>
      <c r="B2" s="12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14" t="s">
        <v>10</v>
      </c>
      <c r="J2" s="13" t="s">
        <v>11</v>
      </c>
      <c r="K2" s="14" t="s">
        <v>12</v>
      </c>
    </row>
    <row r="3" spans="1:11" ht="15.5">
      <c r="A3" s="19" t="s">
        <v>13</v>
      </c>
      <c r="B3" s="20"/>
      <c r="C3" s="7">
        <f>采购价!C4*10</f>
        <v>5.8500000000000005</v>
      </c>
      <c r="D3" s="7">
        <f>采购价!D4*10</f>
        <v>7.644000000000001</v>
      </c>
      <c r="E3" s="7">
        <f>采购价!E4*10</f>
        <v>9.5082000000000004</v>
      </c>
      <c r="F3" s="7">
        <f>采购价!F4*10</f>
        <v>8.9570000000000007</v>
      </c>
      <c r="G3" s="7">
        <f>采购价!G4*10</f>
        <v>18.427500000000002</v>
      </c>
      <c r="H3" s="7">
        <f>采购价!H4*10</f>
        <v>10.100999999999999</v>
      </c>
      <c r="I3" s="7">
        <f>采购价!I4*10</f>
        <v>12.285</v>
      </c>
      <c r="J3" s="7">
        <f>采购价!J4*10</f>
        <v>14.3</v>
      </c>
      <c r="K3" s="7">
        <f>采购价!K4*10</f>
        <v>22.360000000000003</v>
      </c>
    </row>
    <row r="4" spans="1:11" ht="15.5">
      <c r="A4" s="21" t="s">
        <v>14</v>
      </c>
      <c r="B4" s="16"/>
      <c r="C4" s="7">
        <f>采购价!C5*10</f>
        <v>6.24</v>
      </c>
      <c r="D4" s="7">
        <f>采购价!D5*10</f>
        <v>7.644000000000001</v>
      </c>
      <c r="E4" s="7">
        <f>采购价!E5*10</f>
        <v>9.5082000000000004</v>
      </c>
      <c r="F4" s="7">
        <f>采购价!F5*10</f>
        <v>8.9570000000000007</v>
      </c>
      <c r="G4" s="7">
        <f>采购价!G5*10</f>
        <v>23.79</v>
      </c>
      <c r="H4" s="7">
        <f>采购价!H5*10</f>
        <v>10.100999999999999</v>
      </c>
      <c r="I4" s="7">
        <f>采购价!I5*10</f>
        <v>18.98</v>
      </c>
      <c r="J4" s="7">
        <f>采购价!J5*10</f>
        <v>14.3</v>
      </c>
      <c r="K4" s="7">
        <f>采购价!K5*10</f>
        <v>22.360000000000003</v>
      </c>
    </row>
    <row r="5" spans="1:11" ht="15.5">
      <c r="A5" s="15" t="s">
        <v>15</v>
      </c>
      <c r="B5" s="16"/>
      <c r="C5" s="7">
        <f>采购价!C6*10</f>
        <v>10.100999999999999</v>
      </c>
      <c r="D5" s="7">
        <f>采购价!D6*10</f>
        <v>11.05</v>
      </c>
      <c r="E5" s="7">
        <f>采购价!E6*10</f>
        <v>15.295800000000002</v>
      </c>
      <c r="F5" s="7">
        <f>采购价!F6*10</f>
        <v>11.575200000000001</v>
      </c>
      <c r="G5" s="7">
        <f>采购价!G6*10</f>
        <v>36.01</v>
      </c>
      <c r="H5" s="7">
        <f>采购价!H6*10</f>
        <v>12.967500000000001</v>
      </c>
      <c r="I5" s="7">
        <f>采购价!I6*10</f>
        <v>30.55</v>
      </c>
      <c r="J5" s="7">
        <f>采购价!J6*10</f>
        <v>19.630000000000003</v>
      </c>
      <c r="K5" s="7">
        <f>采购价!K6*10</f>
        <v>26</v>
      </c>
    </row>
    <row r="6" spans="1:11" ht="15.5">
      <c r="A6" s="16" t="s">
        <v>16</v>
      </c>
      <c r="B6" s="16"/>
      <c r="C6" s="7" t="e">
        <f>采购价!C7*10</f>
        <v>#VALUE!</v>
      </c>
      <c r="D6" s="7" t="e">
        <f>采购价!D7*10</f>
        <v>#VALUE!</v>
      </c>
      <c r="E6" s="7">
        <f>采购价!E7*10</f>
        <v>0</v>
      </c>
      <c r="F6" s="7">
        <f>采购价!F7*10</f>
        <v>0</v>
      </c>
      <c r="G6" s="7" t="e">
        <f>采购价!G7*10</f>
        <v>#VALUE!</v>
      </c>
      <c r="H6" s="7">
        <f>采购价!H7*10</f>
        <v>17.745000000000005</v>
      </c>
      <c r="I6" s="7" t="e">
        <f>采购价!I7*10</f>
        <v>#VALUE!</v>
      </c>
      <c r="J6" s="7">
        <f>采购价!J7*10</f>
        <v>26.65</v>
      </c>
      <c r="K6" s="7" t="e">
        <f>采购价!K7*10</f>
        <v>#VALUE!</v>
      </c>
    </row>
    <row r="7" spans="1:11" ht="15.5">
      <c r="A7" s="15" t="s">
        <v>18</v>
      </c>
      <c r="B7" s="16"/>
      <c r="C7" s="7">
        <f>采购价!C8*10</f>
        <v>7.7804999999999991</v>
      </c>
      <c r="D7" s="7">
        <f>采购价!D8*10</f>
        <v>9.49</v>
      </c>
      <c r="E7" s="7">
        <f>采购价!E8*10</f>
        <v>10.197199999999999</v>
      </c>
      <c r="F7" s="7">
        <f>采购价!F8*10</f>
        <v>8.9570000000000007</v>
      </c>
      <c r="G7" s="7">
        <f>采购价!G8*10</f>
        <v>18.427500000000002</v>
      </c>
      <c r="H7" s="7">
        <f>采购价!H8*10</f>
        <v>12.285</v>
      </c>
      <c r="I7" s="7">
        <f>采购价!I8*10</f>
        <v>12.285</v>
      </c>
      <c r="J7" s="7">
        <f>采购价!J8*10</f>
        <v>15.600000000000001</v>
      </c>
      <c r="K7" s="7">
        <f>采购价!K8*10</f>
        <v>22.360000000000003</v>
      </c>
    </row>
    <row r="8" spans="1:11" ht="15.5">
      <c r="A8" s="15" t="s">
        <v>19</v>
      </c>
      <c r="B8" s="16"/>
      <c r="C8" s="7">
        <f>采购价!C9*10</f>
        <v>6.9615000000000018</v>
      </c>
      <c r="D8" s="7">
        <f>采购价!D9*10</f>
        <v>9.8279999999999994</v>
      </c>
      <c r="E8" s="7">
        <f>采购价!E9*10</f>
        <v>9.5082000000000004</v>
      </c>
      <c r="F8" s="7">
        <f>采购价!F9*10</f>
        <v>8.9570000000000007</v>
      </c>
      <c r="G8" s="7">
        <f>采购价!G9*10</f>
        <v>23.79</v>
      </c>
      <c r="H8" s="7">
        <f>采购价!H9*10</f>
        <v>12.285</v>
      </c>
      <c r="I8" s="7">
        <f>采购价!I9*10</f>
        <v>18.98</v>
      </c>
      <c r="J8" s="7">
        <f>采购价!J9*10</f>
        <v>15.99</v>
      </c>
      <c r="K8" s="7">
        <f>采购价!K9*10</f>
        <v>22.360000000000003</v>
      </c>
    </row>
    <row r="9" spans="1:11" ht="15.5">
      <c r="A9" s="15" t="s">
        <v>20</v>
      </c>
      <c r="B9" s="16"/>
      <c r="C9" s="7">
        <f>采购价!C10*10</f>
        <v>8.9699999999999989</v>
      </c>
      <c r="D9" s="7">
        <f>采购价!D10*10</f>
        <v>11.57</v>
      </c>
      <c r="E9" s="7">
        <f>采购价!E10*10</f>
        <v>16.811600000000002</v>
      </c>
      <c r="F9" s="7">
        <f>采购价!F10*10</f>
        <v>10.610600000000002</v>
      </c>
      <c r="G9" s="7">
        <f>采购价!G10*10</f>
        <v>36.01</v>
      </c>
      <c r="H9" s="7">
        <f>采购价!H10*10</f>
        <v>14.3</v>
      </c>
      <c r="I9" s="7">
        <f>采购价!I10*10</f>
        <v>30.55</v>
      </c>
      <c r="J9" s="7">
        <f>采购价!J10*10</f>
        <v>20.8</v>
      </c>
      <c r="K9" s="7">
        <f>采购价!K10*10</f>
        <v>25.48</v>
      </c>
    </row>
    <row r="10" spans="1:11" ht="15.5">
      <c r="A10" s="15" t="s">
        <v>21</v>
      </c>
      <c r="B10" s="16"/>
      <c r="C10" s="7">
        <f>采购价!C11*10</f>
        <v>15.209999999999999</v>
      </c>
      <c r="D10" s="7">
        <f>采购价!D11*10</f>
        <v>14.560000000000002</v>
      </c>
      <c r="E10" s="7">
        <f>采购价!E11*10</f>
        <v>19.016400000000001</v>
      </c>
      <c r="F10" s="7">
        <f>采购价!F11*10</f>
        <v>17.914000000000001</v>
      </c>
      <c r="G10" s="7">
        <f>采购价!G11*10</f>
        <v>61.1</v>
      </c>
      <c r="H10" s="7">
        <f>采购价!H11*10</f>
        <v>18.98</v>
      </c>
      <c r="I10" s="7">
        <f>采购价!I11*10</f>
        <v>52.13</v>
      </c>
      <c r="J10" s="7">
        <f>采购价!J11*10</f>
        <v>27.300000000000004</v>
      </c>
      <c r="K10" s="7">
        <f>采购价!K11*10</f>
        <v>34.06</v>
      </c>
    </row>
    <row r="11" spans="1:11" ht="15.5">
      <c r="A11" s="15" t="s">
        <v>22</v>
      </c>
      <c r="B11" s="16"/>
      <c r="C11" s="7">
        <f>采购价!C12*10</f>
        <v>27.820000000000004</v>
      </c>
      <c r="D11" s="7">
        <f>采购价!D12*10</f>
        <v>21.97</v>
      </c>
      <c r="E11" s="7">
        <f>采购价!E12*10</f>
        <v>32.107400000000005</v>
      </c>
      <c r="F11" s="7">
        <f>采购价!F12*10</f>
        <v>32.796399999999998</v>
      </c>
      <c r="G11" s="7">
        <f>采购价!G12*10</f>
        <v>79.69</v>
      </c>
      <c r="H11" s="7">
        <f>采购价!H12*10</f>
        <v>26.260000000000005</v>
      </c>
      <c r="I11" s="7">
        <f>采购价!I12*10</f>
        <v>67.86</v>
      </c>
      <c r="J11" s="7">
        <f>采购价!J12*10</f>
        <v>40.300000000000004</v>
      </c>
      <c r="K11" s="7">
        <f>采购价!K12*10</f>
        <v>56.42</v>
      </c>
    </row>
    <row r="12" spans="1:11" ht="15.5">
      <c r="A12" s="15" t="s">
        <v>23</v>
      </c>
      <c r="B12" s="16"/>
      <c r="C12" s="7">
        <f>采购价!C13*10</f>
        <v>8.32</v>
      </c>
      <c r="D12" s="7">
        <f>采购价!D13*10</f>
        <v>12.09</v>
      </c>
      <c r="E12" s="7">
        <f>采购价!E13*10</f>
        <v>12.126400000000002</v>
      </c>
      <c r="F12" s="7">
        <f>采购价!F13*10</f>
        <v>9.6460000000000008</v>
      </c>
      <c r="G12" s="7">
        <f>采购价!G13*10</f>
        <v>24.57</v>
      </c>
      <c r="H12" s="7">
        <f>采购价!H13*10</f>
        <v>16.12</v>
      </c>
      <c r="I12" s="7">
        <f>采购价!I13*10</f>
        <v>19.89</v>
      </c>
      <c r="J12" s="7">
        <f>采购价!J13*10</f>
        <v>21.060000000000002</v>
      </c>
      <c r="K12" s="7">
        <f>采购价!K13*10</f>
        <v>24.18</v>
      </c>
    </row>
    <row r="13" spans="1:11" ht="15.5">
      <c r="A13" s="15" t="s">
        <v>24</v>
      </c>
      <c r="B13" s="16"/>
      <c r="C13" s="7">
        <f>采购价!C14*10</f>
        <v>8.1900000000000013</v>
      </c>
      <c r="D13" s="7">
        <f>采购价!D14*10</f>
        <v>12.09</v>
      </c>
      <c r="E13" s="7">
        <f>采购价!E14*10</f>
        <v>15.295800000000002</v>
      </c>
      <c r="F13" s="7">
        <f>采购价!F14*10</f>
        <v>9.6460000000000008</v>
      </c>
      <c r="G13" s="7">
        <f>采购价!G14*10</f>
        <v>36.01</v>
      </c>
      <c r="H13" s="7">
        <f>采购价!H14*10</f>
        <v>16.12</v>
      </c>
      <c r="I13" s="7">
        <f>采购价!I14*10</f>
        <v>31.07</v>
      </c>
      <c r="J13" s="7">
        <f>采购价!J14*10</f>
        <v>22.360000000000003</v>
      </c>
      <c r="K13" s="7">
        <f>采购价!K14*10</f>
        <v>24.18</v>
      </c>
    </row>
    <row r="14" spans="1:11" ht="15.5">
      <c r="A14" s="15" t="s">
        <v>25</v>
      </c>
      <c r="B14" s="16"/>
      <c r="C14" s="7">
        <f>采购价!C15*10</f>
        <v>13.910000000000002</v>
      </c>
      <c r="D14" s="7">
        <f>采购价!D15*10</f>
        <v>15.209999999999999</v>
      </c>
      <c r="E14" s="7">
        <f>采购价!E15*10</f>
        <v>19.016400000000001</v>
      </c>
      <c r="F14" s="7">
        <f>采购价!F15*10</f>
        <v>17.914000000000001</v>
      </c>
      <c r="G14" s="7">
        <f>采购价!G15*10</f>
        <v>61.1</v>
      </c>
      <c r="H14" s="7">
        <f>采购价!H15*10</f>
        <v>20.410000000000004</v>
      </c>
      <c r="I14" s="7">
        <f>采购价!I15*10</f>
        <v>52.13</v>
      </c>
      <c r="J14" s="7">
        <f>采购价!J15*10</f>
        <v>28.47</v>
      </c>
      <c r="K14" s="7">
        <f>采购价!K15*10</f>
        <v>36.01</v>
      </c>
    </row>
    <row r="15" spans="1:11" ht="15.5">
      <c r="A15" s="15" t="s">
        <v>26</v>
      </c>
      <c r="B15" s="16"/>
      <c r="C15" s="7">
        <f>采购价!C16*10</f>
        <v>25.61</v>
      </c>
      <c r="D15" s="7">
        <f>采购价!D16*10</f>
        <v>20.930000000000003</v>
      </c>
      <c r="E15" s="7">
        <f>采购价!E16*10</f>
        <v>30.729399999999998</v>
      </c>
      <c r="F15" s="7">
        <f>采购价!F16*10</f>
        <v>29.764800000000001</v>
      </c>
      <c r="G15" s="7">
        <f>采购价!G16*10</f>
        <v>79.69</v>
      </c>
      <c r="H15" s="7">
        <f>采购价!H16*10</f>
        <v>24.830000000000002</v>
      </c>
      <c r="I15" s="7">
        <f>采购价!I16*10</f>
        <v>69.42</v>
      </c>
      <c r="J15" s="7">
        <f>采购价!J16*10</f>
        <v>40.300000000000004</v>
      </c>
      <c r="K15" s="7">
        <f>采购价!K16*10</f>
        <v>55.25</v>
      </c>
    </row>
    <row r="16" spans="1:11" ht="15.5">
      <c r="A16" s="15" t="s">
        <v>27</v>
      </c>
      <c r="B16" s="16"/>
      <c r="C16" s="7">
        <f>采购价!C17*10</f>
        <v>12.87</v>
      </c>
      <c r="D16" s="7">
        <f>采购价!D17*10</f>
        <v>15.34</v>
      </c>
      <c r="E16" s="7">
        <f>采购价!E17*10</f>
        <v>19.981000000000002</v>
      </c>
      <c r="F16" s="7">
        <f>采购价!F17*10</f>
        <v>15.984800000000002</v>
      </c>
      <c r="G16" s="7">
        <f>采购价!G17*10</f>
        <v>25.74</v>
      </c>
      <c r="H16" s="7">
        <f>采购价!H17*10</f>
        <v>19.760000000000002</v>
      </c>
      <c r="I16" s="7">
        <f>采购价!I17*10</f>
        <v>19.89</v>
      </c>
      <c r="J16" s="7">
        <f>采购价!J17*10</f>
        <v>32.5</v>
      </c>
      <c r="K16" s="7">
        <f>采购价!K17*10</f>
        <v>39.129999999999995</v>
      </c>
    </row>
    <row r="17" spans="1:11" ht="15.5">
      <c r="A17" s="15" t="s">
        <v>28</v>
      </c>
      <c r="B17" s="16"/>
      <c r="C17" s="7">
        <f>采购价!C18*10</f>
        <v>12.09</v>
      </c>
      <c r="D17" s="7">
        <f>采购价!D18*10</f>
        <v>15.73</v>
      </c>
      <c r="E17" s="7">
        <f>采购价!E18*10</f>
        <v>19.016400000000001</v>
      </c>
      <c r="F17" s="7">
        <f>采购价!F18*10</f>
        <v>17.500600000000002</v>
      </c>
      <c r="G17" s="7">
        <f>采购价!G18*10</f>
        <v>36.53</v>
      </c>
      <c r="H17" s="7">
        <f>采购价!H18*10</f>
        <v>22.62</v>
      </c>
      <c r="I17" s="7">
        <f>采购价!I18*10</f>
        <v>32.11</v>
      </c>
      <c r="J17" s="7">
        <f>采购价!J18*10</f>
        <v>34.06</v>
      </c>
      <c r="K17" s="7">
        <f>采购价!K18*10</f>
        <v>39.129999999999995</v>
      </c>
    </row>
    <row r="18" spans="1:11" ht="15.5">
      <c r="A18" s="15" t="s">
        <v>29</v>
      </c>
      <c r="B18" s="16"/>
      <c r="C18" s="7">
        <f>采购价!C19*10</f>
        <v>13.780000000000001</v>
      </c>
      <c r="D18" s="7">
        <f>采购价!D19*10</f>
        <v>17.549999999999997</v>
      </c>
      <c r="E18" s="7">
        <f>采购价!E19*10</f>
        <v>21.910200000000003</v>
      </c>
      <c r="F18" s="7">
        <f>采购价!F19*10</f>
        <v>18.603000000000005</v>
      </c>
      <c r="G18" s="7">
        <f>采购价!G19*10</f>
        <v>61.75</v>
      </c>
      <c r="H18" s="7">
        <f>采购价!H19*10</f>
        <v>22.62</v>
      </c>
      <c r="I18" s="7">
        <f>采购价!I19*10</f>
        <v>53.040000000000006</v>
      </c>
      <c r="J18" s="7">
        <f>采购价!J19*10</f>
        <v>32.89</v>
      </c>
      <c r="K18" s="7">
        <f>采购价!K19*10</f>
        <v>39.65</v>
      </c>
    </row>
    <row r="19" spans="1:11" ht="15.5">
      <c r="A19" s="15" t="s">
        <v>30</v>
      </c>
      <c r="B19" s="16"/>
      <c r="C19" s="7">
        <f>采购价!C20*10</f>
        <v>22.62</v>
      </c>
      <c r="D19" s="7">
        <f>采购价!D20*10</f>
        <v>21.97</v>
      </c>
      <c r="E19" s="7">
        <f>采购价!E20*10</f>
        <v>32.107400000000005</v>
      </c>
      <c r="F19" s="7">
        <f>采购价!F20*10</f>
        <v>30.729399999999998</v>
      </c>
      <c r="G19" s="7">
        <f>采购价!G20*10</f>
        <v>81.12</v>
      </c>
      <c r="H19" s="7">
        <f>采购价!H20*10</f>
        <v>27.69</v>
      </c>
      <c r="I19" s="7">
        <f>采购价!I20*10</f>
        <v>69.42</v>
      </c>
      <c r="J19" s="7">
        <f>采购价!J20*10</f>
        <v>43.81</v>
      </c>
      <c r="K19" s="7">
        <f>采购价!K20*10</f>
        <v>52.13</v>
      </c>
    </row>
    <row r="20" spans="1:11" ht="15.5">
      <c r="A20" s="15" t="s">
        <v>31</v>
      </c>
      <c r="B20" s="16"/>
      <c r="C20" s="7">
        <f>采购价!C21*10</f>
        <v>16.77</v>
      </c>
      <c r="D20" s="7">
        <f>采购价!D21*10</f>
        <v>19.760000000000002</v>
      </c>
      <c r="E20" s="7">
        <f>采购价!E21*10</f>
        <v>27.697800000000001</v>
      </c>
      <c r="F20" s="7">
        <f>采购价!F21*10</f>
        <v>25.630800000000001</v>
      </c>
      <c r="G20" s="7">
        <f>采购价!G21*10</f>
        <v>25.74</v>
      </c>
      <c r="H20" s="7">
        <f>采购价!H21*10</f>
        <v>24.18</v>
      </c>
      <c r="I20" s="7">
        <f>采购价!I21*10</f>
        <v>20.67</v>
      </c>
      <c r="J20" s="7">
        <f>采购价!J21*10</f>
        <v>46.28</v>
      </c>
      <c r="K20" s="7">
        <f>采购价!K21*10</f>
        <v>52.13</v>
      </c>
    </row>
    <row r="21" spans="1:11" ht="15.5">
      <c r="A21" s="15" t="s">
        <v>32</v>
      </c>
      <c r="B21" s="16"/>
      <c r="C21" s="7">
        <f>采购价!C22*10</f>
        <v>17.549999999999997</v>
      </c>
      <c r="D21" s="7">
        <f>采购价!D22*10</f>
        <v>19.760000000000002</v>
      </c>
      <c r="E21" s="7">
        <f>采购价!E22*10</f>
        <v>27.697800000000001</v>
      </c>
      <c r="F21" s="7">
        <f>采购价!F22*10</f>
        <v>25.630800000000001</v>
      </c>
      <c r="G21" s="7">
        <f>采购价!G22*10</f>
        <v>36.4</v>
      </c>
      <c r="H21" s="7">
        <f>采购价!H22*10</f>
        <v>24.18</v>
      </c>
      <c r="I21" s="7">
        <f>采购价!I22*10</f>
        <v>32.11</v>
      </c>
      <c r="J21" s="7">
        <f>采购价!J22*10</f>
        <v>48.879999999999995</v>
      </c>
      <c r="K21" s="7">
        <f>采购价!K22*10</f>
        <v>52.13</v>
      </c>
    </row>
    <row r="22" spans="1:11" ht="15.5">
      <c r="A22" s="15" t="s">
        <v>33</v>
      </c>
      <c r="B22" s="16"/>
      <c r="C22" s="7">
        <f>采购价!C23*10</f>
        <v>18.329999999999998</v>
      </c>
      <c r="D22" s="7">
        <f>采购价!D23*10</f>
        <v>19.760000000000002</v>
      </c>
      <c r="E22" s="7">
        <f>采购价!E23*10</f>
        <v>27.697800000000001</v>
      </c>
      <c r="F22" s="7">
        <f>采购价!F23*10</f>
        <v>26.044200000000004</v>
      </c>
      <c r="G22" s="7">
        <f>采购价!G23*10</f>
        <v>61.75</v>
      </c>
      <c r="H22" s="7">
        <f>采购价!H23*10</f>
        <v>26.260000000000005</v>
      </c>
      <c r="I22" s="7">
        <f>采购价!I23*10</f>
        <v>52.910000000000004</v>
      </c>
      <c r="J22" s="7">
        <f>采购价!J23*10</f>
        <v>48.879999999999995</v>
      </c>
      <c r="K22" s="7">
        <f>采购价!K23*10</f>
        <v>53.949999999999996</v>
      </c>
    </row>
    <row r="23" spans="1:11" ht="15.5">
      <c r="A23" s="15" t="s">
        <v>34</v>
      </c>
      <c r="B23" s="16"/>
      <c r="C23" s="7">
        <f>采购价!C24*10</f>
        <v>21.189999999999998</v>
      </c>
      <c r="D23" s="7">
        <f>采购价!D24*10</f>
        <v>23.400000000000002</v>
      </c>
      <c r="E23" s="7">
        <f>采购价!E24*10</f>
        <v>32.107400000000005</v>
      </c>
      <c r="F23" s="7">
        <f>采购价!F24*10</f>
        <v>32.796399999999998</v>
      </c>
      <c r="G23" s="7">
        <f>采购价!G24*10</f>
        <v>81.899999999999991</v>
      </c>
      <c r="H23" s="7">
        <f>采购价!H24*10</f>
        <v>27.69</v>
      </c>
      <c r="I23" s="7">
        <f>采购价!I24*10</f>
        <v>69.42</v>
      </c>
      <c r="J23" s="7">
        <f>采购价!J24*10</f>
        <v>48.879999999999995</v>
      </c>
      <c r="K23" s="7">
        <f>采购价!K24*10</f>
        <v>67.600000000000009</v>
      </c>
    </row>
    <row r="24" spans="1:11" ht="15.5">
      <c r="A24" s="15" t="s">
        <v>35</v>
      </c>
      <c r="B24" s="16"/>
      <c r="C24" s="7">
        <f>采购价!C25*10</f>
        <v>30.68</v>
      </c>
      <c r="D24" s="7">
        <f>采购价!D25*10</f>
        <v>33.67</v>
      </c>
      <c r="E24" s="7" t="e">
        <f>采购价!E25*10</f>
        <v>#VALUE!</v>
      </c>
      <c r="F24" s="7" t="e">
        <f>采购价!F25*10</f>
        <v>#VALUE!</v>
      </c>
      <c r="G24" s="7" t="e">
        <f>采购价!G25*10</f>
        <v>#VALUE!</v>
      </c>
      <c r="H24" s="7">
        <f>采购价!H25*10</f>
        <v>53.430000000000007</v>
      </c>
      <c r="I24" s="7" t="e">
        <f>采购价!I25*10</f>
        <v>#VALUE!</v>
      </c>
      <c r="J24" s="7" t="e">
        <f>采购价!J25*10</f>
        <v>#VALUE!</v>
      </c>
      <c r="K24" s="7" t="e">
        <f>采购价!K25*10</f>
        <v>#VALUE!</v>
      </c>
    </row>
    <row r="25" spans="1:11" ht="15.5">
      <c r="A25" s="15" t="s">
        <v>36</v>
      </c>
      <c r="B25" s="16"/>
      <c r="C25" s="7">
        <f>采购价!C26*10</f>
        <v>30.68</v>
      </c>
      <c r="D25" s="7">
        <f>采购价!D26*10</f>
        <v>33.67</v>
      </c>
      <c r="E25" s="7" t="e">
        <f>采购价!E26*10</f>
        <v>#VALUE!</v>
      </c>
      <c r="F25" s="7" t="e">
        <f>采购价!F26*10</f>
        <v>#VALUE!</v>
      </c>
      <c r="G25" s="7" t="e">
        <f>采购价!G26*10</f>
        <v>#VALUE!</v>
      </c>
      <c r="H25" s="7">
        <f>采购价!H26*10</f>
        <v>53.430000000000007</v>
      </c>
      <c r="I25" s="7" t="e">
        <f>采购价!I26*10</f>
        <v>#VALUE!</v>
      </c>
      <c r="J25" s="7" t="e">
        <f>采购价!J26*10</f>
        <v>#VALUE!</v>
      </c>
      <c r="K25" s="7" t="e">
        <f>采购价!K26*10</f>
        <v>#VALUE!</v>
      </c>
    </row>
    <row r="26" spans="1:11" ht="15.5">
      <c r="A26" s="15" t="s">
        <v>37</v>
      </c>
      <c r="B26" s="16"/>
      <c r="C26" s="7">
        <f>采购价!C27*10</f>
        <v>30.68</v>
      </c>
      <c r="D26" s="7">
        <f>采购价!D27*10</f>
        <v>34.97</v>
      </c>
      <c r="E26" s="7" t="e">
        <f>采购价!E27*10</f>
        <v>#VALUE!</v>
      </c>
      <c r="F26" s="7" t="e">
        <f>采购价!F27*10</f>
        <v>#VALUE!</v>
      </c>
      <c r="G26" s="7" t="e">
        <f>采购价!G27*10</f>
        <v>#VALUE!</v>
      </c>
      <c r="H26" s="7">
        <f>采购价!H27*10</f>
        <v>48.230000000000004</v>
      </c>
      <c r="I26" s="7" t="e">
        <f>采购价!I27*10</f>
        <v>#VALUE!</v>
      </c>
      <c r="J26" s="7" t="e">
        <f>采购价!J27*10</f>
        <v>#VALUE!</v>
      </c>
      <c r="K26" s="7" t="e">
        <f>采购价!K27*10</f>
        <v>#VALUE!</v>
      </c>
    </row>
    <row r="27" spans="1:11" ht="15.5">
      <c r="A27" s="15" t="s">
        <v>38</v>
      </c>
      <c r="B27" s="16"/>
      <c r="C27" s="7">
        <f>采购价!C28*10</f>
        <v>30.68</v>
      </c>
      <c r="D27" s="7">
        <f>采购价!D28*10</f>
        <v>36.53</v>
      </c>
      <c r="E27" s="7">
        <f>采购价!E28*10</f>
        <v>51.12380000000001</v>
      </c>
      <c r="F27" s="7" t="e">
        <f>采购价!F28*10</f>
        <v>#VALUE!</v>
      </c>
      <c r="G27" s="7" t="e">
        <f>采购价!G28*10</f>
        <v>#VALUE!</v>
      </c>
      <c r="H27" s="7">
        <f>采购价!H28*10</f>
        <v>48.230000000000004</v>
      </c>
      <c r="I27" s="7" t="e">
        <f>采购价!I28*10</f>
        <v>#VALUE!</v>
      </c>
      <c r="J27" s="7" t="e">
        <f>采购价!J28*10</f>
        <v>#VALUE!</v>
      </c>
      <c r="K27" s="7" t="e">
        <f>采购价!K28*10</f>
        <v>#VALUE!</v>
      </c>
    </row>
    <row r="28" spans="1:11" ht="15.5">
      <c r="A28" s="15" t="s">
        <v>39</v>
      </c>
      <c r="B28" s="16"/>
      <c r="C28" s="7">
        <f>采购价!C29*10</f>
        <v>30.68</v>
      </c>
      <c r="D28" s="7">
        <f>采购价!D29*10</f>
        <v>36.53</v>
      </c>
      <c r="E28" s="7">
        <f>采购价!E29*10</f>
        <v>51.12380000000001</v>
      </c>
      <c r="F28" s="7" t="e">
        <f>采购价!F29*10</f>
        <v>#VALUE!</v>
      </c>
      <c r="G28" s="7" t="e">
        <f>采购价!G29*10</f>
        <v>#VALUE!</v>
      </c>
      <c r="H28" s="7">
        <f>采购价!H29*10</f>
        <v>48.230000000000004</v>
      </c>
      <c r="I28" s="7" t="e">
        <f>采购价!I29*10</f>
        <v>#VALUE!</v>
      </c>
      <c r="J28" s="7" t="e">
        <f>采购价!J29*10</f>
        <v>#VALUE!</v>
      </c>
      <c r="K28" s="7" t="e">
        <f>采购价!K29*10</f>
        <v>#VALUE!</v>
      </c>
    </row>
    <row r="29" spans="1:11" ht="15.5">
      <c r="A29" s="15" t="s">
        <v>40</v>
      </c>
      <c r="B29" s="16"/>
      <c r="C29" s="7">
        <f>采购价!C30*10</f>
        <v>30.68</v>
      </c>
      <c r="D29" s="7">
        <f>采购价!D30*10</f>
        <v>36.53</v>
      </c>
      <c r="E29" s="7">
        <f>采购价!E30*10</f>
        <v>51.12380000000001</v>
      </c>
      <c r="F29" s="7" t="e">
        <f>采购价!F30*10</f>
        <v>#VALUE!</v>
      </c>
      <c r="G29" s="7">
        <f>采购价!G30*10</f>
        <v>96.72</v>
      </c>
      <c r="H29" s="7">
        <f>采购价!H30*10</f>
        <v>48.230000000000004</v>
      </c>
      <c r="I29" s="7" t="e">
        <f>采购价!I30*10</f>
        <v>#VALUE!</v>
      </c>
      <c r="J29" s="7" t="e">
        <f>采购价!J30*10</f>
        <v>#VALUE!</v>
      </c>
      <c r="K29" s="7" t="e">
        <f>采购价!K30*10</f>
        <v>#VALUE!</v>
      </c>
    </row>
    <row r="30" spans="1:11" ht="15.5">
      <c r="A30" s="15" t="s">
        <v>41</v>
      </c>
      <c r="B30" s="16"/>
      <c r="C30" s="7">
        <f>采购价!C31*10</f>
        <v>41.34</v>
      </c>
      <c r="D30" s="7">
        <f>采购价!D31*10</f>
        <v>55.120000000000005</v>
      </c>
      <c r="E30" s="7" t="e">
        <f>采购价!E31*10</f>
        <v>#VALUE!</v>
      </c>
      <c r="F30" s="7" t="e">
        <f>采购价!F31*10</f>
        <v>#VALUE!</v>
      </c>
      <c r="G30" s="7" t="e">
        <f>采购价!G31*10</f>
        <v>#VALUE!</v>
      </c>
      <c r="H30" s="7">
        <f>采购价!H31*10</f>
        <v>66.56</v>
      </c>
      <c r="I30" s="7" t="e">
        <f>采购价!I31*10</f>
        <v>#VALUE!</v>
      </c>
      <c r="J30" s="7" t="e">
        <f>采购价!J31*10</f>
        <v>#VALUE!</v>
      </c>
      <c r="K30" s="7" t="e">
        <f>采购价!K31*10</f>
        <v>#VALUE!</v>
      </c>
    </row>
  </sheetData>
  <mergeCells count="29">
    <mergeCell ref="A1:B1"/>
    <mergeCell ref="A3:B3"/>
    <mergeCell ref="A4:B4"/>
    <mergeCell ref="A5:B5"/>
    <mergeCell ref="A6:B6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19" sqref="D19"/>
    </sheetView>
  </sheetViews>
  <sheetFormatPr defaultColWidth="14.25" defaultRowHeight="14"/>
  <cols>
    <col min="1" max="1" width="9.58203125" style="1" customWidth="1"/>
    <col min="2" max="2" width="5.58203125" style="1" customWidth="1"/>
    <col min="3" max="16384" width="14.25" style="1"/>
  </cols>
  <sheetData>
    <row r="1" spans="1:11" ht="32.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.5">
      <c r="A2" s="17" t="s">
        <v>1</v>
      </c>
      <c r="B2" s="18"/>
      <c r="C2" s="2"/>
      <c r="D2" s="2"/>
      <c r="E2" s="3"/>
      <c r="F2" s="3"/>
      <c r="G2" s="4"/>
      <c r="H2" s="5"/>
      <c r="I2" s="6"/>
      <c r="J2" s="6"/>
      <c r="K2" s="6"/>
    </row>
    <row r="3" spans="1:11" customFormat="1" ht="99.75" customHeight="1">
      <c r="A3" s="11" t="s">
        <v>2</v>
      </c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4" t="s">
        <v>10</v>
      </c>
      <c r="J3" s="13" t="s">
        <v>11</v>
      </c>
      <c r="K3" s="14" t="s">
        <v>12</v>
      </c>
    </row>
    <row r="4" spans="1:11" ht="15.5">
      <c r="A4" s="19" t="s">
        <v>13</v>
      </c>
      <c r="B4" s="20"/>
      <c r="C4" s="7">
        <v>0.58500000000000008</v>
      </c>
      <c r="D4" s="7">
        <v>0.76440000000000008</v>
      </c>
      <c r="E4" s="7">
        <v>0.95082</v>
      </c>
      <c r="F4" s="7">
        <v>0.89570000000000005</v>
      </c>
      <c r="G4" s="7">
        <v>1.8427500000000003</v>
      </c>
      <c r="H4" s="7">
        <v>1.0101</v>
      </c>
      <c r="I4" s="7">
        <v>1.2284999999999999</v>
      </c>
      <c r="J4" s="7">
        <v>1.4300000000000002</v>
      </c>
      <c r="K4" s="8">
        <v>2.2360000000000002</v>
      </c>
    </row>
    <row r="5" spans="1:11" ht="15.5">
      <c r="A5" s="21" t="s">
        <v>14</v>
      </c>
      <c r="B5" s="16"/>
      <c r="C5" s="7">
        <v>0.624</v>
      </c>
      <c r="D5" s="7">
        <v>0.76440000000000008</v>
      </c>
      <c r="E5" s="7">
        <v>0.95082</v>
      </c>
      <c r="F5" s="7">
        <v>0.89570000000000005</v>
      </c>
      <c r="G5" s="7">
        <v>2.379</v>
      </c>
      <c r="H5" s="7">
        <v>1.0101</v>
      </c>
      <c r="I5" s="7">
        <v>1.8979999999999999</v>
      </c>
      <c r="J5" s="7">
        <v>1.4300000000000002</v>
      </c>
      <c r="K5" s="8">
        <v>2.2360000000000002</v>
      </c>
    </row>
    <row r="6" spans="1:11" ht="15.5">
      <c r="A6" s="15" t="s">
        <v>15</v>
      </c>
      <c r="B6" s="16"/>
      <c r="C6" s="7">
        <v>1.0101</v>
      </c>
      <c r="D6" s="7">
        <v>1.105</v>
      </c>
      <c r="E6" s="7">
        <v>1.5295800000000002</v>
      </c>
      <c r="F6" s="7">
        <v>1.1575200000000001</v>
      </c>
      <c r="G6" s="7">
        <v>3.601</v>
      </c>
      <c r="H6" s="7">
        <v>1.2967500000000001</v>
      </c>
      <c r="I6" s="7">
        <v>3.0550000000000002</v>
      </c>
      <c r="J6" s="7">
        <v>1.9630000000000001</v>
      </c>
      <c r="K6" s="8">
        <v>2.6</v>
      </c>
    </row>
    <row r="7" spans="1:11" ht="15.5">
      <c r="A7" s="16" t="s">
        <v>16</v>
      </c>
      <c r="B7" s="16"/>
      <c r="C7" s="7" t="s">
        <v>17</v>
      </c>
      <c r="D7" s="7" t="s">
        <v>17</v>
      </c>
      <c r="E7" s="7">
        <v>0</v>
      </c>
      <c r="F7" s="7">
        <v>0</v>
      </c>
      <c r="G7" s="7" t="s">
        <v>17</v>
      </c>
      <c r="H7" s="7">
        <v>1.7745000000000004</v>
      </c>
      <c r="I7" s="7" t="s">
        <v>17</v>
      </c>
      <c r="J7" s="7">
        <v>2.665</v>
      </c>
      <c r="K7" s="8" t="s">
        <v>17</v>
      </c>
    </row>
    <row r="8" spans="1:11" ht="15.5">
      <c r="A8" s="15" t="s">
        <v>18</v>
      </c>
      <c r="B8" s="16"/>
      <c r="C8" s="7">
        <v>0.77804999999999991</v>
      </c>
      <c r="D8" s="7">
        <v>0.94899999999999995</v>
      </c>
      <c r="E8" s="7">
        <v>1.01972</v>
      </c>
      <c r="F8" s="7">
        <v>0.89570000000000005</v>
      </c>
      <c r="G8" s="7">
        <v>1.8427500000000003</v>
      </c>
      <c r="H8" s="7">
        <v>1.2284999999999999</v>
      </c>
      <c r="I8" s="7">
        <v>1.2284999999999999</v>
      </c>
      <c r="J8" s="7">
        <v>1.56</v>
      </c>
      <c r="K8" s="8">
        <v>2.2360000000000002</v>
      </c>
    </row>
    <row r="9" spans="1:11" ht="15.5">
      <c r="A9" s="15" t="s">
        <v>19</v>
      </c>
      <c r="B9" s="16"/>
      <c r="C9" s="7">
        <v>0.69615000000000016</v>
      </c>
      <c r="D9" s="7">
        <v>0.98280000000000001</v>
      </c>
      <c r="E9" s="7">
        <v>0.95082</v>
      </c>
      <c r="F9" s="7">
        <v>0.89570000000000005</v>
      </c>
      <c r="G9" s="7">
        <v>2.379</v>
      </c>
      <c r="H9" s="7">
        <v>1.2284999999999999</v>
      </c>
      <c r="I9" s="7">
        <v>1.8979999999999999</v>
      </c>
      <c r="J9" s="7">
        <v>1.599</v>
      </c>
      <c r="K9" s="8">
        <v>2.2360000000000002</v>
      </c>
    </row>
    <row r="10" spans="1:11" ht="15.5">
      <c r="A10" s="15" t="s">
        <v>20</v>
      </c>
      <c r="B10" s="16"/>
      <c r="C10" s="7">
        <v>0.89699999999999991</v>
      </c>
      <c r="D10" s="7">
        <v>1.157</v>
      </c>
      <c r="E10" s="7">
        <v>1.6811600000000002</v>
      </c>
      <c r="F10" s="7">
        <v>1.0610600000000001</v>
      </c>
      <c r="G10" s="7">
        <v>3.601</v>
      </c>
      <c r="H10" s="7">
        <v>1.4300000000000002</v>
      </c>
      <c r="I10" s="7">
        <v>3.0550000000000002</v>
      </c>
      <c r="J10" s="7">
        <v>2.08</v>
      </c>
      <c r="K10" s="8">
        <v>2.548</v>
      </c>
    </row>
    <row r="11" spans="1:11" ht="15.5">
      <c r="A11" s="15" t="s">
        <v>21</v>
      </c>
      <c r="B11" s="16"/>
      <c r="C11" s="7">
        <v>1.5209999999999999</v>
      </c>
      <c r="D11" s="7">
        <v>1.4560000000000002</v>
      </c>
      <c r="E11" s="7">
        <v>1.90164</v>
      </c>
      <c r="F11" s="7">
        <v>1.7914000000000001</v>
      </c>
      <c r="G11" s="7">
        <v>6.11</v>
      </c>
      <c r="H11" s="7">
        <v>1.8979999999999999</v>
      </c>
      <c r="I11" s="7">
        <v>5.2130000000000001</v>
      </c>
      <c r="J11" s="7">
        <v>2.7300000000000004</v>
      </c>
      <c r="K11" s="8">
        <v>3.4060000000000001</v>
      </c>
    </row>
    <row r="12" spans="1:11" ht="15.5">
      <c r="A12" s="15" t="s">
        <v>22</v>
      </c>
      <c r="B12" s="16"/>
      <c r="C12" s="7">
        <v>2.7820000000000005</v>
      </c>
      <c r="D12" s="7">
        <v>2.1970000000000001</v>
      </c>
      <c r="E12" s="7">
        <v>3.2107400000000004</v>
      </c>
      <c r="F12" s="7">
        <v>3.2796400000000001</v>
      </c>
      <c r="G12" s="7">
        <v>7.9690000000000003</v>
      </c>
      <c r="H12" s="7">
        <v>2.6260000000000003</v>
      </c>
      <c r="I12" s="7">
        <v>6.7859999999999996</v>
      </c>
      <c r="J12" s="7">
        <v>4.03</v>
      </c>
      <c r="K12" s="8">
        <v>5.6420000000000003</v>
      </c>
    </row>
    <row r="13" spans="1:11" ht="15.5">
      <c r="A13" s="15" t="s">
        <v>23</v>
      </c>
      <c r="B13" s="16"/>
      <c r="C13" s="7">
        <v>0.83200000000000007</v>
      </c>
      <c r="D13" s="7">
        <v>1.2090000000000001</v>
      </c>
      <c r="E13" s="7">
        <v>1.2126400000000002</v>
      </c>
      <c r="F13" s="7">
        <v>0.96460000000000001</v>
      </c>
      <c r="G13" s="7">
        <v>2.4569999999999999</v>
      </c>
      <c r="H13" s="7">
        <v>1.6120000000000001</v>
      </c>
      <c r="I13" s="7">
        <v>1.9890000000000001</v>
      </c>
      <c r="J13" s="7">
        <v>2.1060000000000003</v>
      </c>
      <c r="K13" s="8">
        <v>2.4180000000000001</v>
      </c>
    </row>
    <row r="14" spans="1:11" ht="15.5">
      <c r="A14" s="15" t="s">
        <v>24</v>
      </c>
      <c r="B14" s="16"/>
      <c r="C14" s="7">
        <v>0.81900000000000006</v>
      </c>
      <c r="D14" s="7">
        <v>1.2090000000000001</v>
      </c>
      <c r="E14" s="7">
        <v>1.5295800000000002</v>
      </c>
      <c r="F14" s="7">
        <v>0.96460000000000001</v>
      </c>
      <c r="G14" s="7">
        <v>3.601</v>
      </c>
      <c r="H14" s="7">
        <v>1.6120000000000001</v>
      </c>
      <c r="I14" s="7">
        <v>3.1070000000000002</v>
      </c>
      <c r="J14" s="7">
        <v>2.2360000000000002</v>
      </c>
      <c r="K14" s="8">
        <v>2.4180000000000001</v>
      </c>
    </row>
    <row r="15" spans="1:11" ht="15.5">
      <c r="A15" s="15" t="s">
        <v>25</v>
      </c>
      <c r="B15" s="16"/>
      <c r="C15" s="7">
        <v>1.3910000000000002</v>
      </c>
      <c r="D15" s="7">
        <v>1.5209999999999999</v>
      </c>
      <c r="E15" s="7">
        <v>1.90164</v>
      </c>
      <c r="F15" s="7">
        <v>1.7914000000000001</v>
      </c>
      <c r="G15" s="7">
        <v>6.11</v>
      </c>
      <c r="H15" s="7">
        <v>2.0410000000000004</v>
      </c>
      <c r="I15" s="7">
        <v>5.2130000000000001</v>
      </c>
      <c r="J15" s="7">
        <v>2.847</v>
      </c>
      <c r="K15" s="8">
        <v>3.601</v>
      </c>
    </row>
    <row r="16" spans="1:11" ht="15.5">
      <c r="A16" s="15" t="s">
        <v>26</v>
      </c>
      <c r="B16" s="16"/>
      <c r="C16" s="7">
        <v>2.5609999999999999</v>
      </c>
      <c r="D16" s="7">
        <v>2.0930000000000004</v>
      </c>
      <c r="E16" s="7">
        <v>3.07294</v>
      </c>
      <c r="F16" s="7">
        <v>2.97648</v>
      </c>
      <c r="G16" s="7">
        <v>7.9690000000000003</v>
      </c>
      <c r="H16" s="7">
        <v>2.4830000000000001</v>
      </c>
      <c r="I16" s="7">
        <v>6.9420000000000002</v>
      </c>
      <c r="J16" s="7">
        <v>4.03</v>
      </c>
      <c r="K16" s="8">
        <v>5.5250000000000004</v>
      </c>
    </row>
    <row r="17" spans="1:11" ht="15.5">
      <c r="A17" s="15" t="s">
        <v>27</v>
      </c>
      <c r="B17" s="16"/>
      <c r="C17" s="7">
        <v>1.2869999999999999</v>
      </c>
      <c r="D17" s="7">
        <v>1.534</v>
      </c>
      <c r="E17" s="7">
        <v>1.9981</v>
      </c>
      <c r="F17" s="7">
        <v>1.5984800000000001</v>
      </c>
      <c r="G17" s="7">
        <v>2.5739999999999998</v>
      </c>
      <c r="H17" s="7">
        <v>1.9760000000000002</v>
      </c>
      <c r="I17" s="7">
        <v>1.9890000000000001</v>
      </c>
      <c r="J17" s="7">
        <v>3.25</v>
      </c>
      <c r="K17" s="8">
        <v>3.9129999999999998</v>
      </c>
    </row>
    <row r="18" spans="1:11" ht="15.5">
      <c r="A18" s="15" t="s">
        <v>28</v>
      </c>
      <c r="B18" s="16"/>
      <c r="C18" s="7">
        <v>1.2090000000000001</v>
      </c>
      <c r="D18" s="7">
        <v>1.573</v>
      </c>
      <c r="E18" s="7">
        <v>1.90164</v>
      </c>
      <c r="F18" s="7">
        <v>1.7500600000000002</v>
      </c>
      <c r="G18" s="7">
        <v>3.653</v>
      </c>
      <c r="H18" s="7">
        <v>2.262</v>
      </c>
      <c r="I18" s="7">
        <v>3.2110000000000003</v>
      </c>
      <c r="J18" s="7">
        <v>3.4060000000000001</v>
      </c>
      <c r="K18" s="8">
        <v>3.9129999999999998</v>
      </c>
    </row>
    <row r="19" spans="1:11" ht="15.5">
      <c r="A19" s="15" t="s">
        <v>29</v>
      </c>
      <c r="B19" s="16"/>
      <c r="C19" s="7">
        <v>1.3780000000000001</v>
      </c>
      <c r="D19" s="7">
        <v>1.7549999999999999</v>
      </c>
      <c r="E19" s="7">
        <v>2.1910200000000004</v>
      </c>
      <c r="F19" s="7">
        <v>1.8603000000000005</v>
      </c>
      <c r="G19" s="7">
        <v>6.1749999999999998</v>
      </c>
      <c r="H19" s="7">
        <v>2.262</v>
      </c>
      <c r="I19" s="7">
        <v>5.3040000000000003</v>
      </c>
      <c r="J19" s="7">
        <v>3.2889999999999997</v>
      </c>
      <c r="K19" s="8">
        <v>3.9649999999999999</v>
      </c>
    </row>
    <row r="20" spans="1:11" ht="15.5">
      <c r="A20" s="15" t="s">
        <v>30</v>
      </c>
      <c r="B20" s="16"/>
      <c r="C20" s="7">
        <v>2.262</v>
      </c>
      <c r="D20" s="7">
        <v>2.1970000000000001</v>
      </c>
      <c r="E20" s="7">
        <v>3.2107400000000004</v>
      </c>
      <c r="F20" s="7">
        <v>3.07294</v>
      </c>
      <c r="G20" s="7">
        <v>8.1120000000000001</v>
      </c>
      <c r="H20" s="7">
        <v>2.7690000000000001</v>
      </c>
      <c r="I20" s="7">
        <v>6.9420000000000002</v>
      </c>
      <c r="J20" s="7">
        <v>4.3810000000000002</v>
      </c>
      <c r="K20" s="8">
        <v>5.2130000000000001</v>
      </c>
    </row>
    <row r="21" spans="1:11" ht="15.5">
      <c r="A21" s="15" t="s">
        <v>31</v>
      </c>
      <c r="B21" s="16"/>
      <c r="C21" s="7">
        <v>1.677</v>
      </c>
      <c r="D21" s="7">
        <v>1.9760000000000002</v>
      </c>
      <c r="E21" s="7">
        <v>2.7697799999999999</v>
      </c>
      <c r="F21" s="7">
        <v>2.5630800000000002</v>
      </c>
      <c r="G21" s="7">
        <v>2.5739999999999998</v>
      </c>
      <c r="H21" s="7">
        <v>2.4180000000000001</v>
      </c>
      <c r="I21" s="7">
        <v>2.0670000000000002</v>
      </c>
      <c r="J21" s="7">
        <v>4.6280000000000001</v>
      </c>
      <c r="K21" s="8">
        <v>5.2130000000000001</v>
      </c>
    </row>
    <row r="22" spans="1:11" ht="15.5">
      <c r="A22" s="15" t="s">
        <v>32</v>
      </c>
      <c r="B22" s="16"/>
      <c r="C22" s="7">
        <v>1.7549999999999999</v>
      </c>
      <c r="D22" s="7">
        <v>1.9760000000000002</v>
      </c>
      <c r="E22" s="7">
        <v>2.7697799999999999</v>
      </c>
      <c r="F22" s="7">
        <v>2.5630800000000002</v>
      </c>
      <c r="G22" s="7">
        <v>3.6399999999999997</v>
      </c>
      <c r="H22" s="7">
        <v>2.4180000000000001</v>
      </c>
      <c r="I22" s="7">
        <v>3.2110000000000003</v>
      </c>
      <c r="J22" s="7">
        <v>4.8879999999999999</v>
      </c>
      <c r="K22" s="8">
        <v>5.2130000000000001</v>
      </c>
    </row>
    <row r="23" spans="1:11" ht="15.5">
      <c r="A23" s="15" t="s">
        <v>33</v>
      </c>
      <c r="B23" s="16"/>
      <c r="C23" s="7">
        <v>1.833</v>
      </c>
      <c r="D23" s="7">
        <v>1.9760000000000002</v>
      </c>
      <c r="E23" s="7">
        <v>2.7697799999999999</v>
      </c>
      <c r="F23" s="7">
        <v>2.6044200000000002</v>
      </c>
      <c r="G23" s="7">
        <v>6.1749999999999998</v>
      </c>
      <c r="H23" s="7">
        <v>2.6260000000000003</v>
      </c>
      <c r="I23" s="7">
        <v>5.2910000000000004</v>
      </c>
      <c r="J23" s="7">
        <v>4.8879999999999999</v>
      </c>
      <c r="K23" s="8">
        <v>5.3949999999999996</v>
      </c>
    </row>
    <row r="24" spans="1:11" ht="15.5">
      <c r="A24" s="15" t="s">
        <v>34</v>
      </c>
      <c r="B24" s="16"/>
      <c r="C24" s="7">
        <v>2.1189999999999998</v>
      </c>
      <c r="D24" s="7">
        <v>2.3400000000000003</v>
      </c>
      <c r="E24" s="7">
        <v>3.2107400000000004</v>
      </c>
      <c r="F24" s="7">
        <v>3.2796400000000001</v>
      </c>
      <c r="G24" s="7">
        <v>8.19</v>
      </c>
      <c r="H24" s="7">
        <v>2.7690000000000001</v>
      </c>
      <c r="I24" s="7">
        <v>6.9420000000000002</v>
      </c>
      <c r="J24" s="7">
        <v>4.8879999999999999</v>
      </c>
      <c r="K24" s="8">
        <v>6.7600000000000007</v>
      </c>
    </row>
    <row r="25" spans="1:11" ht="15.5">
      <c r="A25" s="15" t="s">
        <v>35</v>
      </c>
      <c r="B25" s="16"/>
      <c r="C25" s="7">
        <v>3.0680000000000001</v>
      </c>
      <c r="D25" s="7">
        <v>3.367</v>
      </c>
      <c r="E25" s="7" t="s">
        <v>17</v>
      </c>
      <c r="F25" s="7" t="s">
        <v>17</v>
      </c>
      <c r="G25" s="7" t="s">
        <v>17</v>
      </c>
      <c r="H25" s="7">
        <v>5.3430000000000009</v>
      </c>
      <c r="I25" s="7" t="s">
        <v>17</v>
      </c>
      <c r="J25" s="7" t="s">
        <v>17</v>
      </c>
      <c r="K25" s="8" t="s">
        <v>17</v>
      </c>
    </row>
    <row r="26" spans="1:11" ht="15.5">
      <c r="A26" s="15" t="s">
        <v>36</v>
      </c>
      <c r="B26" s="16"/>
      <c r="C26" s="7">
        <v>3.0680000000000001</v>
      </c>
      <c r="D26" s="7">
        <v>3.367</v>
      </c>
      <c r="E26" s="7" t="s">
        <v>17</v>
      </c>
      <c r="F26" s="7" t="s">
        <v>17</v>
      </c>
      <c r="G26" s="7" t="s">
        <v>17</v>
      </c>
      <c r="H26" s="7">
        <v>5.3430000000000009</v>
      </c>
      <c r="I26" s="7" t="s">
        <v>17</v>
      </c>
      <c r="J26" s="7" t="s">
        <v>17</v>
      </c>
      <c r="K26" s="8" t="s">
        <v>17</v>
      </c>
    </row>
    <row r="27" spans="1:11" ht="15.5">
      <c r="A27" s="15" t="s">
        <v>37</v>
      </c>
      <c r="B27" s="16"/>
      <c r="C27" s="7">
        <v>3.0680000000000001</v>
      </c>
      <c r="D27" s="7">
        <v>3.4969999999999999</v>
      </c>
      <c r="E27" s="7" t="s">
        <v>17</v>
      </c>
      <c r="F27" s="7" t="s">
        <v>17</v>
      </c>
      <c r="G27" s="7" t="s">
        <v>17</v>
      </c>
      <c r="H27" s="7">
        <v>4.8230000000000004</v>
      </c>
      <c r="I27" s="7" t="s">
        <v>17</v>
      </c>
      <c r="J27" s="7" t="s">
        <v>17</v>
      </c>
      <c r="K27" s="8" t="s">
        <v>17</v>
      </c>
    </row>
    <row r="28" spans="1:11" ht="15.5">
      <c r="A28" s="15" t="s">
        <v>38</v>
      </c>
      <c r="B28" s="16"/>
      <c r="C28" s="7">
        <v>3.0680000000000001</v>
      </c>
      <c r="D28" s="7">
        <v>3.653</v>
      </c>
      <c r="E28" s="7">
        <v>5.1123800000000008</v>
      </c>
      <c r="F28" s="7" t="s">
        <v>17</v>
      </c>
      <c r="G28" s="7" t="s">
        <v>17</v>
      </c>
      <c r="H28" s="7">
        <v>4.8230000000000004</v>
      </c>
      <c r="I28" s="7" t="s">
        <v>17</v>
      </c>
      <c r="J28" s="7" t="s">
        <v>17</v>
      </c>
      <c r="K28" s="8" t="s">
        <v>17</v>
      </c>
    </row>
    <row r="29" spans="1:11" ht="15.5">
      <c r="A29" s="15" t="s">
        <v>39</v>
      </c>
      <c r="B29" s="16"/>
      <c r="C29" s="7">
        <v>3.0680000000000001</v>
      </c>
      <c r="D29" s="7">
        <v>3.653</v>
      </c>
      <c r="E29" s="7">
        <v>5.1123800000000008</v>
      </c>
      <c r="F29" s="7" t="s">
        <v>17</v>
      </c>
      <c r="G29" s="7" t="s">
        <v>17</v>
      </c>
      <c r="H29" s="7">
        <v>4.8230000000000004</v>
      </c>
      <c r="I29" s="7" t="s">
        <v>17</v>
      </c>
      <c r="J29" s="7" t="s">
        <v>17</v>
      </c>
      <c r="K29" s="8" t="s">
        <v>17</v>
      </c>
    </row>
    <row r="30" spans="1:11" ht="15.5">
      <c r="A30" s="15" t="s">
        <v>40</v>
      </c>
      <c r="B30" s="16"/>
      <c r="C30" s="7">
        <v>3.0680000000000001</v>
      </c>
      <c r="D30" s="7">
        <v>3.653</v>
      </c>
      <c r="E30" s="7">
        <v>5.1123800000000008</v>
      </c>
      <c r="F30" s="7" t="s">
        <v>17</v>
      </c>
      <c r="G30" s="7">
        <v>9.6720000000000006</v>
      </c>
      <c r="H30" s="7">
        <v>4.8230000000000004</v>
      </c>
      <c r="I30" s="7" t="s">
        <v>17</v>
      </c>
      <c r="J30" s="7" t="s">
        <v>17</v>
      </c>
      <c r="K30" s="8" t="s">
        <v>17</v>
      </c>
    </row>
    <row r="31" spans="1:11" ht="15.5">
      <c r="A31" s="15" t="s">
        <v>41</v>
      </c>
      <c r="B31" s="16"/>
      <c r="C31" s="9">
        <v>4.1340000000000003</v>
      </c>
      <c r="D31" s="9">
        <v>5.5120000000000005</v>
      </c>
      <c r="E31" s="9" t="s">
        <v>17</v>
      </c>
      <c r="F31" s="9" t="s">
        <v>17</v>
      </c>
      <c r="G31" s="9" t="s">
        <v>17</v>
      </c>
      <c r="H31" s="9">
        <v>6.6560000000000006</v>
      </c>
      <c r="I31" s="9" t="s">
        <v>17</v>
      </c>
      <c r="J31" s="9" t="s">
        <v>17</v>
      </c>
      <c r="K31" s="10" t="s">
        <v>17</v>
      </c>
    </row>
  </sheetData>
  <mergeCells count="30">
    <mergeCell ref="A7:B7"/>
    <mergeCell ref="A1:K1"/>
    <mergeCell ref="A2:B2"/>
    <mergeCell ref="A4:B4"/>
    <mergeCell ref="A5:B5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货值</vt:lpstr>
      <vt:lpstr>零售价</vt:lpstr>
      <vt:lpstr>采购价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windsor</dc:creator>
  <cp:lastModifiedBy>nfw</cp:lastModifiedBy>
  <dcterms:created xsi:type="dcterms:W3CDTF">2015-06-05T18:19:34Z</dcterms:created>
  <dcterms:modified xsi:type="dcterms:W3CDTF">2026-03-21T04:32:59Z</dcterms:modified>
</cp:coreProperties>
</file>